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ylan\Downloads\"/>
    </mc:Choice>
  </mc:AlternateContent>
  <xr:revisionPtr revIDLastSave="0" documentId="13_ncr:1_{BFE8F0E9-FDA2-4D9C-92B4-822EF3AE5E0C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_Listas" sheetId="21" state="veryHidden" r:id="rId1"/>
    <sheet name="Modelo de valor" sheetId="17" r:id="rId2"/>
    <sheet name="Definiciones " sheetId="18" r:id="rId3"/>
    <sheet name="MCDA Advanced Dashboard" sheetId="1" r:id="rId4"/>
    <sheet name="T_results" sheetId="20" r:id="rId5"/>
    <sheet name="Resumen" sheetId="19" r:id="rId6"/>
    <sheet name="Input_costo2" sheetId="16" r:id="rId7"/>
    <sheet name="Matriz_Medicamentos" sheetId="8" r:id="rId8"/>
    <sheet name="Parametros " sheetId="15" r:id="rId9"/>
    <sheet name="Inputs_EMD " sheetId="5" r:id="rId10"/>
    <sheet name="Referencias" sheetId="22" r:id="rId11"/>
    <sheet name="Matriz_Resultados_Crudos" sheetId="9" r:id="rId12"/>
    <sheet name="ChartData" sheetId="2" r:id="rId13"/>
  </sheets>
  <functionGroups builtInGroupCount="19"/>
  <externalReferences>
    <externalReference r:id="rId14"/>
    <externalReference r:id="rId15"/>
    <externalReference r:id="rId16"/>
  </externalReferences>
  <definedNames>
    <definedName name="_xlnm.Print_Area" localSheetId="5">Resumen!$A$1:$BH$37</definedName>
    <definedName name="Lista_Moleculas_Seleccionadas" localSheetId="10">[1]_Listas!$A$1:$A$8</definedName>
    <definedName name="Lista_Moleculas_Seleccionadas">[2]_Listas!$A$1:$A$8</definedName>
    <definedName name="ListaEconomica" localSheetId="2">_xlfn.ANCHORARRAY([2]Equivalencia!$E$4)</definedName>
    <definedName name="ListaEconomica" localSheetId="6">_xlfn.ANCHORARRAY([3]Equivalencia!$E$4)</definedName>
    <definedName name="ListaEconomica" localSheetId="8">_xlfn.ANCHORARRAY([3]Equivalencia!$E$4)</definedName>
    <definedName name="ListaEconomica" localSheetId="10">_xlfn.ANCHORARRAY([1]Equivalencia!$E$4)</definedName>
    <definedName name="ListaEconomica">_xlfn.ANCHORARRAY(#REF!)</definedName>
    <definedName name="LP_Lista_Moleculas_Seleccionadas">_Listas!$A$1:$A$8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3" i="19" l="1"/>
  <c r="D11" i="19"/>
  <c r="D16" i="1"/>
  <c r="B2" i="9" a="1"/>
  <c r="B2" i="9" s="1"/>
  <c r="M9" i="16"/>
  <c r="I13" i="16"/>
  <c r="O13" i="16" s="1"/>
  <c r="Q13" i="16" s="1"/>
  <c r="I15" i="16"/>
  <c r="O9" i="16"/>
  <c r="B2" i="8" a="1"/>
  <c r="B2" i="8" s="1"/>
  <c r="E16" i="1"/>
  <c r="I9" i="16" l="1"/>
  <c r="BD21" i="19"/>
  <c r="AV21" i="19"/>
  <c r="AO21" i="19"/>
  <c r="AH21" i="19"/>
  <c r="M21" i="19"/>
  <c r="R20" i="1"/>
  <c r="Q23" i="16"/>
  <c r="Q21" i="16"/>
  <c r="Q19" i="16"/>
  <c r="Q17" i="16"/>
  <c r="Q11" i="16"/>
  <c r="M13" i="16"/>
  <c r="T21" i="19"/>
  <c r="BD19" i="19" l="1"/>
  <c r="BD17" i="19"/>
  <c r="BD15" i="19"/>
  <c r="BD13" i="19"/>
  <c r="BD11" i="19"/>
  <c r="M23" i="16"/>
  <c r="I23" i="16"/>
  <c r="O23" i="16" s="1"/>
  <c r="K13" i="20" s="1"/>
  <c r="L17" i="20" a="1"/>
  <c r="L17" i="20" s="1"/>
  <c r="AZ28" i="19" s="1" a="1"/>
  <c r="K17" i="20" a="1"/>
  <c r="K17" i="20" s="1"/>
  <c r="C2" i="8" a="1"/>
  <c r="C2" i="8" s="1"/>
  <c r="E135" i="5"/>
  <c r="E134" i="5"/>
  <c r="E133" i="5"/>
  <c r="E132" i="5"/>
  <c r="E131" i="5"/>
  <c r="E130" i="5"/>
  <c r="E129" i="5"/>
  <c r="E128" i="5"/>
  <c r="E127" i="5"/>
  <c r="E126" i="5"/>
  <c r="D13" i="19"/>
  <c r="D11" i="9"/>
  <c r="D26" i="20"/>
  <c r="D25" i="20"/>
  <c r="D24" i="20"/>
  <c r="D23" i="20"/>
  <c r="D22" i="20"/>
  <c r="D21" i="20"/>
  <c r="D20" i="20"/>
  <c r="D19" i="20"/>
  <c r="D18" i="20"/>
  <c r="D17" i="20"/>
  <c r="D16" i="20"/>
  <c r="AV19" i="19"/>
  <c r="AO19" i="19"/>
  <c r="AH19" i="19"/>
  <c r="AA19" i="19"/>
  <c r="T19" i="19"/>
  <c r="M19" i="19"/>
  <c r="D19" i="19"/>
  <c r="AV17" i="19"/>
  <c r="AO17" i="19"/>
  <c r="AH17" i="19"/>
  <c r="AA17" i="19"/>
  <c r="T17" i="19"/>
  <c r="M17" i="19"/>
  <c r="D17" i="19"/>
  <c r="AV15" i="19"/>
  <c r="AO15" i="19"/>
  <c r="AH15" i="19"/>
  <c r="AA15" i="19"/>
  <c r="T15" i="19"/>
  <c r="M15" i="19"/>
  <c r="D15" i="19"/>
  <c r="AV13" i="19"/>
  <c r="AO13" i="19"/>
  <c r="AH13" i="19"/>
  <c r="AA13" i="19"/>
  <c r="T13" i="19"/>
  <c r="M13" i="19"/>
  <c r="AV11" i="19"/>
  <c r="AO11" i="19"/>
  <c r="AH11" i="19"/>
  <c r="AA11" i="19"/>
  <c r="T11" i="19"/>
  <c r="M11" i="19"/>
  <c r="BC28" i="19" l="1" a="1"/>
  <c r="BD23" i="19"/>
  <c r="AZ28" i="19"/>
  <c r="BC28" i="19" l="1"/>
  <c r="BD30" i="19"/>
  <c r="BE30" i="19"/>
  <c r="BD31" i="19"/>
  <c r="BH31" i="19"/>
  <c r="BG32" i="19"/>
  <c r="BF33" i="19"/>
  <c r="BE34" i="19"/>
  <c r="BD35" i="19"/>
  <c r="BH35" i="19"/>
  <c r="BG36" i="19"/>
  <c r="BF37" i="19"/>
  <c r="BF29" i="19"/>
  <c r="BE31" i="19"/>
  <c r="BD32" i="19"/>
  <c r="BH32" i="19"/>
  <c r="BG33" i="19"/>
  <c r="BF34" i="19"/>
  <c r="BE35" i="19"/>
  <c r="BD36" i="19"/>
  <c r="BG37" i="19"/>
  <c r="BG30" i="19"/>
  <c r="BF31" i="19"/>
  <c r="BE32" i="19"/>
  <c r="BD33" i="19"/>
  <c r="BH33" i="19"/>
  <c r="BG34" i="19"/>
  <c r="BF35" i="19"/>
  <c r="BE36" i="19"/>
  <c r="BD37" i="19"/>
  <c r="BH37" i="19"/>
  <c r="BH29" i="19"/>
  <c r="BH30" i="19"/>
  <c r="BG31" i="19"/>
  <c r="BF32" i="19"/>
  <c r="BE33" i="19"/>
  <c r="BD34" i="19"/>
  <c r="BH34" i="19"/>
  <c r="BG35" i="19"/>
  <c r="BF36" i="19"/>
  <c r="BE37" i="19"/>
  <c r="BE29" i="19"/>
  <c r="BD29" i="19"/>
  <c r="BF30" i="19"/>
  <c r="BH36" i="19"/>
  <c r="BG29" i="19"/>
  <c r="R18" i="1"/>
  <c r="R16" i="1"/>
  <c r="BH28" i="19" l="1"/>
  <c r="BD28" i="19"/>
  <c r="BG28" i="19"/>
  <c r="BF28" i="19"/>
  <c r="BE28" i="19"/>
  <c r="M21" i="16"/>
  <c r="I21" i="16"/>
  <c r="M19" i="16"/>
  <c r="I19" i="16"/>
  <c r="M17" i="16"/>
  <c r="I17" i="16"/>
  <c r="M15" i="16"/>
  <c r="M11" i="16"/>
  <c r="I11" i="16"/>
  <c r="C2" i="9" a="1"/>
  <c r="C2" i="9" s="1"/>
  <c r="E116" i="5"/>
  <c r="E118" i="5"/>
  <c r="E117" i="5"/>
  <c r="E115" i="5"/>
  <c r="E114" i="5"/>
  <c r="E112" i="5"/>
  <c r="E113" i="5"/>
  <c r="E111" i="5"/>
  <c r="E110" i="5"/>
  <c r="E109" i="5"/>
  <c r="O11" i="16" l="1"/>
  <c r="O19" i="16"/>
  <c r="O15" i="16"/>
  <c r="Q9" i="16"/>
  <c r="D21" i="19" s="1"/>
  <c r="O17" i="16"/>
  <c r="O21" i="16"/>
  <c r="AS28" i="19" a="1"/>
  <c r="T18" i="1"/>
  <c r="T16" i="1"/>
  <c r="D2" i="9"/>
  <c r="I4" i="9"/>
  <c r="I5" i="9"/>
  <c r="I6" i="9"/>
  <c r="I7" i="9"/>
  <c r="I8" i="9"/>
  <c r="I9" i="9"/>
  <c r="I10" i="9"/>
  <c r="I11" i="9"/>
  <c r="H4" i="9"/>
  <c r="H5" i="9"/>
  <c r="H6" i="9"/>
  <c r="H7" i="9"/>
  <c r="H8" i="9"/>
  <c r="H9" i="9"/>
  <c r="H10" i="9"/>
  <c r="H11" i="9"/>
  <c r="G4" i="9"/>
  <c r="G5" i="9"/>
  <c r="G6" i="9"/>
  <c r="G7" i="9"/>
  <c r="G8" i="9"/>
  <c r="G9" i="9"/>
  <c r="G10" i="9"/>
  <c r="G11" i="9"/>
  <c r="F4" i="9"/>
  <c r="F5" i="9"/>
  <c r="F6" i="9"/>
  <c r="F7" i="9"/>
  <c r="F8" i="9"/>
  <c r="F9" i="9"/>
  <c r="F10" i="9"/>
  <c r="F11" i="9"/>
  <c r="E4" i="9"/>
  <c r="E5" i="9"/>
  <c r="E6" i="9"/>
  <c r="E7" i="9"/>
  <c r="E8" i="9"/>
  <c r="E9" i="9"/>
  <c r="E10" i="9"/>
  <c r="E11" i="9"/>
  <c r="D4" i="9"/>
  <c r="D5" i="9"/>
  <c r="D6" i="9"/>
  <c r="D7" i="9"/>
  <c r="D8" i="9"/>
  <c r="D9" i="9"/>
  <c r="D10" i="9"/>
  <c r="I3" i="9"/>
  <c r="H3" i="9"/>
  <c r="G3" i="9"/>
  <c r="F3" i="9"/>
  <c r="E3" i="9"/>
  <c r="D3" i="9"/>
  <c r="I2" i="9"/>
  <c r="H2" i="9"/>
  <c r="G2" i="9"/>
  <c r="F2" i="9"/>
  <c r="E2" i="9"/>
  <c r="E102" i="5"/>
  <c r="E101" i="5"/>
  <c r="E100" i="5"/>
  <c r="E99" i="5"/>
  <c r="E98" i="5"/>
  <c r="E97" i="5"/>
  <c r="E96" i="5"/>
  <c r="E95" i="5"/>
  <c r="E94" i="5"/>
  <c r="E93" i="5"/>
  <c r="E86" i="5"/>
  <c r="E85" i="5"/>
  <c r="E84" i="5"/>
  <c r="E83" i="5"/>
  <c r="E82" i="5"/>
  <c r="E81" i="5"/>
  <c r="E80" i="5"/>
  <c r="E79" i="5"/>
  <c r="E78" i="5"/>
  <c r="E77" i="5"/>
  <c r="E70" i="5"/>
  <c r="F11" i="8" s="1"/>
  <c r="E69" i="5"/>
  <c r="F10" i="8" s="1"/>
  <c r="E68" i="5"/>
  <c r="F9" i="8" s="1"/>
  <c r="E67" i="5"/>
  <c r="F8" i="8" s="1"/>
  <c r="E66" i="5"/>
  <c r="F7" i="8" s="1"/>
  <c r="E65" i="5"/>
  <c r="F6" i="8" s="1"/>
  <c r="E64" i="5"/>
  <c r="F5" i="8" s="1"/>
  <c r="E63" i="5"/>
  <c r="F4" i="8" s="1"/>
  <c r="E62" i="5"/>
  <c r="F3" i="8" s="1"/>
  <c r="E61" i="5"/>
  <c r="F2" i="8" s="1"/>
  <c r="E53" i="5"/>
  <c r="E52" i="5"/>
  <c r="E51" i="5"/>
  <c r="E47" i="5"/>
  <c r="E46" i="5"/>
  <c r="E34" i="5"/>
  <c r="E17" i="5"/>
  <c r="E33" i="5"/>
  <c r="E16" i="5"/>
  <c r="E32" i="5"/>
  <c r="E15" i="5"/>
  <c r="E28" i="5"/>
  <c r="E27" i="5"/>
  <c r="E11" i="5"/>
  <c r="E10" i="5"/>
  <c r="Q15" i="16" l="1"/>
  <c r="AA21" i="19" s="1"/>
  <c r="AA23" i="19" s="1"/>
  <c r="K6" i="20"/>
  <c r="K12" i="20"/>
  <c r="AV23" i="19"/>
  <c r="K9" i="20"/>
  <c r="AH23" i="19"/>
  <c r="K10" i="20"/>
  <c r="AO23" i="19"/>
  <c r="K11" i="20"/>
  <c r="T23" i="19"/>
  <c r="K8" i="20"/>
  <c r="K7" i="20"/>
  <c r="M23" i="19"/>
  <c r="AX29" i="19"/>
  <c r="AY36" i="19"/>
  <c r="AY34" i="19"/>
  <c r="AY32" i="19"/>
  <c r="AY30" i="19"/>
  <c r="AX37" i="19"/>
  <c r="AX33" i="19"/>
  <c r="AS28" i="19"/>
  <c r="AX31" i="19"/>
  <c r="AV34" i="19"/>
  <c r="AW34" i="19"/>
  <c r="AV36" i="19"/>
  <c r="AY35" i="19"/>
  <c r="AY31" i="19"/>
  <c r="AX35" i="19"/>
  <c r="AV35" i="19"/>
  <c r="AU36" i="19"/>
  <c r="AU34" i="19"/>
  <c r="AU32" i="19"/>
  <c r="AU30" i="19"/>
  <c r="AX36" i="19"/>
  <c r="AX32" i="19"/>
  <c r="AV37" i="19"/>
  <c r="AV31" i="19"/>
  <c r="AW37" i="19"/>
  <c r="AW33" i="19"/>
  <c r="AV33" i="19"/>
  <c r="AY37" i="19"/>
  <c r="AY33" i="19"/>
  <c r="AY29" i="19"/>
  <c r="AW31" i="19"/>
  <c r="AU35" i="19"/>
  <c r="AX34" i="19"/>
  <c r="AV29" i="19"/>
  <c r="AW30" i="19"/>
  <c r="AV30" i="19"/>
  <c r="AU31" i="19"/>
  <c r="AW35" i="19"/>
  <c r="AU37" i="19"/>
  <c r="AX30" i="19"/>
  <c r="AU33" i="19"/>
  <c r="AW29" i="19"/>
  <c r="AW36" i="19"/>
  <c r="AV32" i="19"/>
  <c r="AU29" i="19"/>
  <c r="AW32" i="19"/>
  <c r="G17" i="20" a="1"/>
  <c r="G17" i="20" s="1"/>
  <c r="Q28" i="19" s="1" a="1"/>
  <c r="D2" i="8" a="1"/>
  <c r="D2" i="8" s="1"/>
  <c r="H17" i="20" s="1" a="1"/>
  <c r="H17" i="20" s="1"/>
  <c r="X28" i="19" s="1" a="1"/>
  <c r="D25" i="1"/>
  <c r="D20" i="1"/>
  <c r="E2" i="8" a="1"/>
  <c r="E2" i="8" s="1"/>
  <c r="J17" i="20" s="1" a="1"/>
  <c r="J17" i="20" s="1"/>
  <c r="AL28" i="19" s="1" a="1"/>
  <c r="D17" i="1"/>
  <c r="D24" i="1"/>
  <c r="D19" i="1"/>
  <c r="D28" i="1"/>
  <c r="D22" i="1"/>
  <c r="D27" i="1"/>
  <c r="D21" i="1"/>
  <c r="T20" i="1"/>
  <c r="E55" i="5"/>
  <c r="E54" i="5"/>
  <c r="E50" i="5"/>
  <c r="E49" i="5"/>
  <c r="E48" i="5"/>
  <c r="E36" i="5"/>
  <c r="E19" i="5"/>
  <c r="E35" i="5"/>
  <c r="E18" i="5"/>
  <c r="E31" i="5"/>
  <c r="E30" i="5"/>
  <c r="E29" i="5"/>
  <c r="H2" i="8" s="1" a="1"/>
  <c r="H2" i="8" s="1"/>
  <c r="E17" i="20" s="1" a="1"/>
  <c r="E17" i="20" s="1"/>
  <c r="B28" i="19" s="1" a="1"/>
  <c r="E13" i="5"/>
  <c r="E12" i="5"/>
  <c r="E14" i="5"/>
  <c r="X28" i="19" l="1"/>
  <c r="AC37" i="19"/>
  <c r="AB29" i="19"/>
  <c r="AA36" i="19"/>
  <c r="AC33" i="19"/>
  <c r="Z33" i="19"/>
  <c r="AA32" i="19"/>
  <c r="AB30" i="19"/>
  <c r="Z34" i="19"/>
  <c r="AD34" i="19"/>
  <c r="AB37" i="19"/>
  <c r="AB33" i="19"/>
  <c r="AD30" i="19"/>
  <c r="Z29" i="19"/>
  <c r="AC31" i="19"/>
  <c r="Z36" i="19"/>
  <c r="AD29" i="19"/>
  <c r="AD31" i="19"/>
  <c r="AD37" i="19"/>
  <c r="AC32" i="19"/>
  <c r="AB31" i="19"/>
  <c r="AA33" i="19"/>
  <c r="AC30" i="19"/>
  <c r="Z35" i="19"/>
  <c r="Z30" i="19"/>
  <c r="AB34" i="19"/>
  <c r="AB35" i="19"/>
  <c r="AA35" i="19"/>
  <c r="AA30" i="19"/>
  <c r="AC36" i="19"/>
  <c r="Z31" i="19"/>
  <c r="AC34" i="19"/>
  <c r="AD36" i="19"/>
  <c r="Z37" i="19"/>
  <c r="AA34" i="19"/>
  <c r="AC35" i="19"/>
  <c r="AA29" i="19"/>
  <c r="AB32" i="19"/>
  <c r="AD35" i="19"/>
  <c r="AC29" i="19"/>
  <c r="AA31" i="19"/>
  <c r="AA37" i="19"/>
  <c r="AD32" i="19"/>
  <c r="Z32" i="19"/>
  <c r="AD33" i="19"/>
  <c r="AB36" i="19"/>
  <c r="AV28" i="19"/>
  <c r="AW28" i="19"/>
  <c r="AY28" i="19"/>
  <c r="AU28" i="19"/>
  <c r="AX28" i="19"/>
  <c r="B28" i="19"/>
  <c r="E31" i="19"/>
  <c r="F37" i="19"/>
  <c r="F32" i="19"/>
  <c r="E35" i="19"/>
  <c r="H35" i="19"/>
  <c r="G30" i="19"/>
  <c r="G34" i="19"/>
  <c r="D29" i="19"/>
  <c r="D34" i="19"/>
  <c r="F36" i="19"/>
  <c r="F31" i="19"/>
  <c r="E33" i="19"/>
  <c r="H34" i="19"/>
  <c r="E29" i="19"/>
  <c r="G32" i="19"/>
  <c r="G29" i="19"/>
  <c r="D33" i="19"/>
  <c r="E36" i="19"/>
  <c r="D31" i="19"/>
  <c r="E30" i="19"/>
  <c r="D30" i="19"/>
  <c r="D37" i="19"/>
  <c r="H37" i="19"/>
  <c r="D35" i="19"/>
  <c r="H31" i="19"/>
  <c r="F29" i="19"/>
  <c r="F35" i="19"/>
  <c r="E32" i="19"/>
  <c r="G36" i="19"/>
  <c r="F33" i="19"/>
  <c r="G35" i="19"/>
  <c r="E37" i="19"/>
  <c r="H33" i="19"/>
  <c r="G31" i="19"/>
  <c r="H29" i="19"/>
  <c r="H36" i="19"/>
  <c r="G33" i="19"/>
  <c r="E34" i="19"/>
  <c r="H30" i="19"/>
  <c r="D32" i="19"/>
  <c r="G37" i="19"/>
  <c r="F30" i="19"/>
  <c r="D36" i="19"/>
  <c r="H32" i="19"/>
  <c r="F34" i="19"/>
  <c r="AO34" i="19"/>
  <c r="AO30" i="19"/>
  <c r="AR36" i="19"/>
  <c r="AR34" i="19"/>
  <c r="AR32" i="19"/>
  <c r="AQ35" i="19"/>
  <c r="AP31" i="19"/>
  <c r="AP36" i="19"/>
  <c r="AP32" i="19"/>
  <c r="AL28" i="19"/>
  <c r="AQ31" i="19"/>
  <c r="AQ29" i="19"/>
  <c r="AO37" i="19"/>
  <c r="AO33" i="19"/>
  <c r="AO29" i="19"/>
  <c r="AN36" i="19"/>
  <c r="AN34" i="19"/>
  <c r="AN32" i="19"/>
  <c r="AQ34" i="19"/>
  <c r="AR30" i="19"/>
  <c r="AP35" i="19"/>
  <c r="AN31" i="19"/>
  <c r="AR31" i="19"/>
  <c r="AO35" i="19"/>
  <c r="AN37" i="19"/>
  <c r="AN33" i="19"/>
  <c r="AQ32" i="19"/>
  <c r="AP33" i="19"/>
  <c r="AR29" i="19"/>
  <c r="AO31" i="19"/>
  <c r="AQ36" i="19"/>
  <c r="AR37" i="19"/>
  <c r="AQ33" i="19"/>
  <c r="AP30" i="19"/>
  <c r="AN30" i="19"/>
  <c r="AO32" i="19"/>
  <c r="AR35" i="19"/>
  <c r="AQ37" i="19"/>
  <c r="AP29" i="19"/>
  <c r="AQ30" i="19"/>
  <c r="AN35" i="19"/>
  <c r="AP37" i="19"/>
  <c r="AN29" i="19"/>
  <c r="AO36" i="19"/>
  <c r="AR33" i="19"/>
  <c r="AP34" i="19"/>
  <c r="W29" i="19"/>
  <c r="S36" i="19"/>
  <c r="S34" i="19"/>
  <c r="S32" i="19"/>
  <c r="S30" i="19"/>
  <c r="V34" i="19"/>
  <c r="U36" i="19"/>
  <c r="U32" i="19"/>
  <c r="T29" i="19"/>
  <c r="T34" i="19"/>
  <c r="U29" i="19"/>
  <c r="S29" i="19"/>
  <c r="U31" i="19"/>
  <c r="W37" i="19"/>
  <c r="W35" i="19"/>
  <c r="W33" i="19"/>
  <c r="W31" i="19"/>
  <c r="V37" i="19"/>
  <c r="V33" i="19"/>
  <c r="U35" i="19"/>
  <c r="T31" i="19"/>
  <c r="T37" i="19"/>
  <c r="T33" i="19"/>
  <c r="V31" i="19"/>
  <c r="W34" i="19"/>
  <c r="W30" i="19"/>
  <c r="U37" i="19"/>
  <c r="V29" i="19"/>
  <c r="U30" i="19"/>
  <c r="W36" i="19"/>
  <c r="V35" i="19"/>
  <c r="T35" i="19"/>
  <c r="V32" i="19"/>
  <c r="T32" i="19"/>
  <c r="S37" i="19"/>
  <c r="S33" i="19"/>
  <c r="V36" i="19"/>
  <c r="U34" i="19"/>
  <c r="T36" i="19"/>
  <c r="T30" i="19"/>
  <c r="W32" i="19"/>
  <c r="U33" i="19"/>
  <c r="Q28" i="19"/>
  <c r="S35" i="19"/>
  <c r="S31" i="19"/>
  <c r="V30" i="19"/>
  <c r="I2" i="8" a="1"/>
  <c r="I2" i="8" s="1"/>
  <c r="G2" i="8" a="1"/>
  <c r="G2" i="8" s="1"/>
  <c r="F17" i="20" s="1" a="1"/>
  <c r="F17" i="20" s="1"/>
  <c r="I28" i="19" s="1" a="1"/>
  <c r="E24" i="1"/>
  <c r="K24" i="1" s="1"/>
  <c r="E22" i="1"/>
  <c r="I22" i="1" s="1"/>
  <c r="E28" i="19" l="1"/>
  <c r="D28" i="19"/>
  <c r="G28" i="19"/>
  <c r="H28" i="19"/>
  <c r="F28" i="19"/>
  <c r="M36" i="19"/>
  <c r="M32" i="19"/>
  <c r="L37" i="19"/>
  <c r="L35" i="19"/>
  <c r="L33" i="19"/>
  <c r="O30" i="19"/>
  <c r="N34" i="19"/>
  <c r="O29" i="19"/>
  <c r="O37" i="19"/>
  <c r="O33" i="19"/>
  <c r="N36" i="19"/>
  <c r="M29" i="19"/>
  <c r="M34" i="19"/>
  <c r="P31" i="19"/>
  <c r="O35" i="19"/>
  <c r="M35" i="19"/>
  <c r="M31" i="19"/>
  <c r="P36" i="19"/>
  <c r="P34" i="19"/>
  <c r="P32" i="19"/>
  <c r="P29" i="19"/>
  <c r="N32" i="19"/>
  <c r="I28" i="19"/>
  <c r="O36" i="19"/>
  <c r="O32" i="19"/>
  <c r="N33" i="19"/>
  <c r="M30" i="19"/>
  <c r="L36" i="19"/>
  <c r="L34" i="19"/>
  <c r="L32" i="19"/>
  <c r="L29" i="19"/>
  <c r="N29" i="19"/>
  <c r="O31" i="19"/>
  <c r="P35" i="19"/>
  <c r="N30" i="19"/>
  <c r="N31" i="19"/>
  <c r="L31" i="19"/>
  <c r="N35" i="19"/>
  <c r="M37" i="19"/>
  <c r="P33" i="19"/>
  <c r="N37" i="19"/>
  <c r="M33" i="19"/>
  <c r="O34" i="19"/>
  <c r="P37" i="19"/>
  <c r="L30" i="19"/>
  <c r="P30" i="19"/>
  <c r="AN28" i="19"/>
  <c r="AP28" i="19"/>
  <c r="AQ28" i="19"/>
  <c r="AR28" i="19"/>
  <c r="AO28" i="19"/>
  <c r="L16" i="1"/>
  <c r="I17" i="20" a="1"/>
  <c r="I17" i="20" s="1"/>
  <c r="AE28" i="19" s="1" a="1"/>
  <c r="V28" i="19"/>
  <c r="W28" i="19"/>
  <c r="S28" i="19"/>
  <c r="T28" i="19"/>
  <c r="U28" i="19"/>
  <c r="AA28" i="19"/>
  <c r="AB28" i="19"/>
  <c r="AD28" i="19"/>
  <c r="Z28" i="19"/>
  <c r="AC28" i="19"/>
  <c r="E28" i="1"/>
  <c r="K28" i="1" s="1"/>
  <c r="E19" i="1"/>
  <c r="J19" i="1" s="1"/>
  <c r="E17" i="1"/>
  <c r="I17" i="1" s="1"/>
  <c r="E25" i="1"/>
  <c r="J25" i="1" s="1"/>
  <c r="E27" i="1"/>
  <c r="I27" i="1" s="1"/>
  <c r="E21" i="1"/>
  <c r="J21" i="1" s="1"/>
  <c r="E20" i="1"/>
  <c r="F20" i="1" s="1"/>
  <c r="F22" i="1"/>
  <c r="L24" i="1"/>
  <c r="L22" i="1"/>
  <c r="H22" i="1"/>
  <c r="F24" i="1"/>
  <c r="I24" i="1"/>
  <c r="H24" i="1"/>
  <c r="J24" i="1"/>
  <c r="K22" i="1"/>
  <c r="J22" i="1"/>
  <c r="F16" i="1" l="1"/>
  <c r="K16" i="1"/>
  <c r="I16" i="1"/>
  <c r="H16" i="1"/>
  <c r="J16" i="1"/>
  <c r="N28" i="19"/>
  <c r="O28" i="19"/>
  <c r="P28" i="19"/>
  <c r="M28" i="19"/>
  <c r="L28" i="19"/>
  <c r="AI35" i="19"/>
  <c r="AI31" i="19"/>
  <c r="AH36" i="19"/>
  <c r="AH32" i="19"/>
  <c r="AG34" i="19"/>
  <c r="AK30" i="19"/>
  <c r="AJ31" i="19"/>
  <c r="AH30" i="19"/>
  <c r="AJ32" i="19"/>
  <c r="AK34" i="19"/>
  <c r="AJ37" i="19"/>
  <c r="AI37" i="19"/>
  <c r="AH34" i="19"/>
  <c r="AG32" i="19"/>
  <c r="AJ36" i="19"/>
  <c r="AK32" i="19"/>
  <c r="AI34" i="19"/>
  <c r="AI30" i="19"/>
  <c r="AH35" i="19"/>
  <c r="AG37" i="19"/>
  <c r="AG33" i="19"/>
  <c r="AH29" i="19"/>
  <c r="AG31" i="19"/>
  <c r="AK29" i="19"/>
  <c r="AK37" i="19"/>
  <c r="AK33" i="19"/>
  <c r="AJ35" i="19"/>
  <c r="AJ29" i="19"/>
  <c r="AI33" i="19"/>
  <c r="AI29" i="19"/>
  <c r="AG36" i="19"/>
  <c r="AE28" i="19"/>
  <c r="AJ30" i="19"/>
  <c r="AK36" i="19"/>
  <c r="AI36" i="19"/>
  <c r="AG35" i="19"/>
  <c r="AJ33" i="19"/>
  <c r="AH33" i="19"/>
  <c r="AI32" i="19"/>
  <c r="AH31" i="19"/>
  <c r="AK35" i="19"/>
  <c r="AH37" i="19"/>
  <c r="AJ34" i="19"/>
  <c r="AK31" i="19"/>
  <c r="AG30" i="19"/>
  <c r="AG29" i="19"/>
  <c r="L17" i="1"/>
  <c r="H19" i="1"/>
  <c r="L19" i="1"/>
  <c r="K20" i="1"/>
  <c r="K19" i="1"/>
  <c r="H21" i="1"/>
  <c r="F21" i="1"/>
  <c r="L21" i="1"/>
  <c r="L28" i="1"/>
  <c r="F28" i="1"/>
  <c r="F27" i="1"/>
  <c r="K27" i="1"/>
  <c r="J28" i="1"/>
  <c r="L27" i="1"/>
  <c r="H28" i="1"/>
  <c r="I28" i="1"/>
  <c r="H20" i="1"/>
  <c r="H17" i="1"/>
  <c r="I20" i="1"/>
  <c r="J27" i="1"/>
  <c r="H27" i="1"/>
  <c r="I21" i="1"/>
  <c r="I25" i="1"/>
  <c r="J20" i="1"/>
  <c r="F17" i="1"/>
  <c r="G16" i="1" s="1"/>
  <c r="H25" i="1"/>
  <c r="L25" i="1"/>
  <c r="L20" i="1"/>
  <c r="F25" i="1"/>
  <c r="G24" i="1" s="1"/>
  <c r="I19" i="1"/>
  <c r="K21" i="1"/>
  <c r="J17" i="1"/>
  <c r="K25" i="1"/>
  <c r="K17" i="1"/>
  <c r="F19" i="1"/>
  <c r="AK28" i="19" l="1"/>
  <c r="AJ28" i="19"/>
  <c r="AG28" i="19"/>
  <c r="AH28" i="19"/>
  <c r="AI28" i="19"/>
  <c r="G19" i="1"/>
  <c r="G27" i="1"/>
  <c r="F30" i="1"/>
  <c r="E9" i="1" s="1"/>
  <c r="R22" i="1" s="1"/>
  <c r="A2" i="2" l="1"/>
  <c r="B2" i="2" s="1"/>
  <c r="T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<sst xmlns="http://schemas.openxmlformats.org/spreadsheetml/2006/main" count="698" uniqueCount="171">
  <si>
    <t>PUNTAJE GLOBAL OBTENIDO</t>
  </si>
  <si>
    <t>Dominio / Criterio</t>
  </si>
  <si>
    <t>Peso (%)</t>
  </si>
  <si>
    <t>Puntaje Ponderado</t>
  </si>
  <si>
    <t>TOTAL GLOBAL</t>
  </si>
  <si>
    <t>Score</t>
  </si>
  <si>
    <t>Remaining</t>
  </si>
  <si>
    <t>Incluido</t>
  </si>
  <si>
    <t>Organizativo</t>
  </si>
  <si>
    <t>No incluido</t>
  </si>
  <si>
    <t>On-label</t>
  </si>
  <si>
    <t>Off-label</t>
  </si>
  <si>
    <t>Mejoría</t>
  </si>
  <si>
    <t>PROs</t>
  </si>
  <si>
    <t>Sin efecto</t>
  </si>
  <si>
    <t>Empeoramiento</t>
  </si>
  <si>
    <t>Farmacocinética</t>
  </si>
  <si>
    <t>No ocurrencia</t>
  </si>
  <si>
    <t>Seguridad</t>
  </si>
  <si>
    <t>Ocurrencia</t>
  </si>
  <si>
    <t>&gt;30% pacientes</t>
  </si>
  <si>
    <t>Eficacia clínica</t>
  </si>
  <si>
    <t>16–30% pacientes</t>
  </si>
  <si>
    <t>0–15% pacientes</t>
  </si>
  <si>
    <t>&gt;15 letras</t>
  </si>
  <si>
    <t>11–15 letras</t>
  </si>
  <si>
    <t>6–10 letras</t>
  </si>
  <si>
    <t>0–5 letras</t>
  </si>
  <si>
    <t>Valor</t>
  </si>
  <si>
    <t>Nivel</t>
  </si>
  <si>
    <t>Criterio</t>
  </si>
  <si>
    <t>Dominio</t>
  </si>
  <si>
    <t xml:space="preserve">Valor </t>
  </si>
  <si>
    <t xml:space="preserve">Eficacia </t>
  </si>
  <si>
    <t>Cambio medio en la agudeza visual corregida (BCVA)</t>
  </si>
  <si>
    <t>Pacientes con ganancia ≥15 letras en BCVA</t>
  </si>
  <si>
    <t xml:space="preserve">Desprendimiento de retina </t>
  </si>
  <si>
    <t xml:space="preserve">Seguridad </t>
  </si>
  <si>
    <t>Infarto agudo de miocardio</t>
  </si>
  <si>
    <t>Endoftalmitis</t>
  </si>
  <si>
    <t>Supresión sistémica de VEGF</t>
  </si>
  <si>
    <t>Calidad de vida relacionada con la salud</t>
  </si>
  <si>
    <t>Discapacidad / capacidad funcional</t>
  </si>
  <si>
    <t>Posicionamiento terapéutico</t>
  </si>
  <si>
    <t>Estado de aprobación regulatoria</t>
  </si>
  <si>
    <t>Inclusión en guías de práctica clínica</t>
  </si>
  <si>
    <t xml:space="preserve">Tiempo de seguimiento </t>
  </si>
  <si>
    <t xml:space="preserve">Resultado </t>
  </si>
  <si>
    <t xml:space="preserve">Referencia </t>
  </si>
  <si>
    <t>NR</t>
  </si>
  <si>
    <t>Desenlace de interés</t>
  </si>
  <si>
    <t xml:space="preserve">48 semanas </t>
  </si>
  <si>
    <t>Prolongada</t>
  </si>
  <si>
    <t>Comentarios</t>
  </si>
  <si>
    <t>On-Label</t>
  </si>
  <si>
    <t xml:space="preserve">* Venkatesh, Ramesh et al. “Anti-VEGF safety in evolution: A comprehensive review of ocular and systemic considerations.” Indian journal of ophthalmology vol. 74,5 (2026): 748-759. doi:10.4103/IJO.IJO_3284_25
*Sharma, Sourabh et al. “Evidence-Based Guidelines for Intravitreal Anti-VEGF Therapy for Diabetic Retinopathy in Chronic Kidney Disease.” Diabetes therapy : research, treatment and education of diabetes and related disorders vol. 16,11 (2025): 2073-2082. doi:10.1007/s13300-025-01791-y
</t>
  </si>
  <si>
    <t>MEDICAMENTO BAJO EVALUACIÓN:</t>
  </si>
  <si>
    <t>%</t>
  </si>
  <si>
    <t>Modelo de valor adaptado</t>
  </si>
  <si>
    <t>No prolongada</t>
  </si>
  <si>
    <t>INVIMA 2018M-0007158-R1</t>
  </si>
  <si>
    <t>Desenlaces reportados por pacientes (PROs)</t>
  </si>
  <si>
    <t xml:space="preserve">52 semanas </t>
  </si>
  <si>
    <t>Resultado</t>
  </si>
  <si>
    <t>COSTO TOTAL</t>
  </si>
  <si>
    <t>INFORMACIÓN ECONÓMICA</t>
  </si>
  <si>
    <t>COSTO ANUAL DE ADMINISTRACIÓN</t>
  </si>
  <si>
    <t>COSTO POR PUNTAJE DE SALUD NETA</t>
  </si>
  <si>
    <t>VALOR</t>
  </si>
  <si>
    <t>ESCENARIO VIDA REAL</t>
  </si>
  <si>
    <t xml:space="preserve">24 meses </t>
  </si>
  <si>
    <t>Registro Clinical trials -RETAIN: NCT01171976</t>
  </si>
  <si>
    <t xml:space="preserve">Evento adverso serio 2/126 (1.59%) </t>
  </si>
  <si>
    <t>LP- RAN 0.5 mg IVT PRN</t>
  </si>
  <si>
    <t>LP -RAN 0.5 mg IVT T&amp;E</t>
  </si>
  <si>
    <t>LP- FAR 6 mg IVT Q8W</t>
  </si>
  <si>
    <t>LP- FAR 6 mg IVT T&amp;E</t>
  </si>
  <si>
    <t>Registro-clinical trials-NCT03622580</t>
  </si>
  <si>
    <t>Evento adverso serio: 5/313 (1.60%)</t>
  </si>
  <si>
    <t>Evento adverso serio: 3/313 (0.96%)</t>
  </si>
  <si>
    <t>Evento adverso serio: 4/313 (1.28%)</t>
  </si>
  <si>
    <t>Evento adverso serio: 1/313 (0.32%)</t>
  </si>
  <si>
    <t>Aflibercept 8 mg  (q16)</t>
  </si>
  <si>
    <t>Evento adverso serio: 10/328 (3.05%)</t>
  </si>
  <si>
    <t xml:space="preserve">Evento adverso serio: 2/163 (1.23%)	</t>
  </si>
  <si>
    <t xml:space="preserve">Evento advero serio: 1/163 (0.61%)	</t>
  </si>
  <si>
    <t xml:space="preserve"> Aflibercept 8 mg  (q12)</t>
  </si>
  <si>
    <t>AFL 2.0 mg IVT PRN</t>
  </si>
  <si>
    <t xml:space="preserve">Dos años </t>
  </si>
  <si>
    <t>2/224 = &lt;1%</t>
  </si>
  <si>
    <t>7/224 = 3%</t>
  </si>
  <si>
    <t xml:space="preserve">Prolongada </t>
  </si>
  <si>
    <t xml:space="preserve">No prolongada </t>
  </si>
  <si>
    <t xml:space="preserve">Tecnología </t>
  </si>
  <si>
    <t xml:space="preserve">Costo x n° inyecciónes </t>
  </si>
  <si>
    <t xml:space="preserve">Costo anual  administración </t>
  </si>
  <si>
    <t>Costo anual  *</t>
  </si>
  <si>
    <t>*El costo total anual corresponde al costo del medicamento más el costo anual de administración.</t>
  </si>
  <si>
    <t xml:space="preserve">COSTO ANUAL INYECCIONES </t>
  </si>
  <si>
    <t>INVIMA 2024MBT-0000108</t>
  </si>
  <si>
    <t>Registro-clinical trials-NCT04429503</t>
  </si>
  <si>
    <t>INVIMA 2025MBT-0000160</t>
  </si>
  <si>
    <t>Wells, John A et al. “Aflibercept, Bevacizumab, or Ranibizumab for Diabetic Macular Edema: Two-Year Results from a Comparative Effectiveness Randomized Clinical Trial.” Ophthalmology vol. 123,6 (2016): 1351-9. doi:10.1016/j.ophtha.2016.02.022</t>
  </si>
  <si>
    <t>Lim, Jennifer I et al. “Diabetic Retinopathy Preferred Practice Pattern®.” Ophthalmology vol. 132,4 (2025): P75-P162. doi:10.1016/j.ophtha.2024.12.020</t>
  </si>
  <si>
    <t>Definición operacional</t>
  </si>
  <si>
    <t>Valores posibles</t>
  </si>
  <si>
    <t>Magnitud del cambio promedio en letras de BCVA después del tratamiento, comparado con el valor basal . Refleja la ganancia funcional visual promedio atribuible a la intervención.</t>
  </si>
  <si>
    <r>
      <t xml:space="preserve">0–5 letras = 1; </t>
    </r>
    <r>
      <rPr>
        <b/>
        <sz val="11"/>
        <color theme="1"/>
        <rFont val="Poppins"/>
      </rPr>
      <t>6–10 letras = 2</t>
    </r>
    <r>
      <rPr>
        <sz val="11"/>
        <color theme="1"/>
        <rFont val="Poppins"/>
      </rPr>
      <t xml:space="preserve">; </t>
    </r>
    <r>
      <rPr>
        <b/>
        <sz val="11"/>
        <color theme="1"/>
        <rFont val="Poppins"/>
      </rPr>
      <t>11–15 letras = 4</t>
    </r>
    <r>
      <rPr>
        <sz val="11"/>
        <color theme="1"/>
        <rFont val="Poppins"/>
      </rPr>
      <t xml:space="preserve">; </t>
    </r>
    <r>
      <rPr>
        <b/>
        <sz val="11"/>
        <color theme="1"/>
        <rFont val="Poppins"/>
      </rPr>
      <t>&gt;15 letras = 5</t>
    </r>
  </si>
  <si>
    <t>Proporción de pacientes que alcanzan una mejoría clínicamente relevante de al menos 15 letras en BCVA durante el seguimiento del estudio. Este desenlace representa una recuperación visual significativa.</t>
  </si>
  <si>
    <r>
      <t xml:space="preserve">0–15% = 1; </t>
    </r>
    <r>
      <rPr>
        <b/>
        <sz val="11"/>
        <color theme="1"/>
        <rFont val="Poppins"/>
      </rPr>
      <t>16–30% = 3</t>
    </r>
    <r>
      <rPr>
        <sz val="11"/>
        <color theme="1"/>
        <rFont val="Poppins"/>
      </rPr>
      <t xml:space="preserve">; </t>
    </r>
    <r>
      <rPr>
        <b/>
        <sz val="11"/>
        <color theme="1"/>
        <rFont val="Poppins"/>
      </rPr>
      <t>&gt;30% = 5</t>
    </r>
  </si>
  <si>
    <t>Desprendimiento de retina</t>
  </si>
  <si>
    <t>Presencia o ausencia de eventos de desprendimiento de retina reportados durante el seguimiento del tratamiento. Se considera un evento adverso ocular grave.</t>
  </si>
  <si>
    <r>
      <t xml:space="preserve">Ocurrencia = 1; </t>
    </r>
    <r>
      <rPr>
        <b/>
        <sz val="11"/>
        <color theme="1"/>
        <rFont val="Poppins"/>
      </rPr>
      <t>No ocurrencia = 5</t>
    </r>
  </si>
  <si>
    <t>Presencia o ausencia de infarto agudo de miocardio reportado como evento adverso durante el seguimiento del tratamiento.</t>
  </si>
  <si>
    <t>Presencia o ausencia de endoftalmitis reportada durante el seguimiento.</t>
  </si>
  <si>
    <t>Duración o persistencia de la reducción de VEGF sistémico posterior a la administración del medicamento. Evalúa el potencial efecto sistémico del tratamiento sobre la vía VEGF.</t>
  </si>
  <si>
    <r>
      <t xml:space="preserve">Prolongada = 1; </t>
    </r>
    <r>
      <rPr>
        <b/>
        <sz val="11"/>
        <color theme="1"/>
        <rFont val="Poppins"/>
      </rPr>
      <t>No prolongada = 5</t>
    </r>
  </si>
  <si>
    <t>Cambio reportado en instrumentos de calidad de vida relacionada con la salud, incluyendo dominios visuales, funcionales o generales. Se clasifica según si el tratamiento empeora, no modifica o mejora la calidad de vida.</t>
  </si>
  <si>
    <r>
      <t xml:space="preserve">Empeoramiento = 1; </t>
    </r>
    <r>
      <rPr>
        <b/>
        <sz val="11"/>
        <color theme="1"/>
        <rFont val="Poppins"/>
      </rPr>
      <t>Sin efecto = 3</t>
    </r>
    <r>
      <rPr>
        <sz val="11"/>
        <color theme="1"/>
        <rFont val="Poppins"/>
      </rPr>
      <t xml:space="preserve">; </t>
    </r>
    <r>
      <rPr>
        <b/>
        <sz val="11"/>
        <color theme="1"/>
        <rFont val="Poppins"/>
      </rPr>
      <t>Mejoría = 5</t>
    </r>
  </si>
  <si>
    <t>Cambio en la capacidad del paciente para realizar actividades cotidianas o mantener independencia funcional, medido mediante escalas funcionales, dominios visuales o reportes de desempeño.</t>
  </si>
  <si>
    <t xml:space="preserve">Posicionamiento terapéutico </t>
  </si>
  <si>
    <t>Condición regulatoria de uso del medicamento para la indicación evaluada. Diferencia si el tratamiento está aprobado específicamente para esa indicación o si su uso corresponde a una indicación no aprobada.</t>
  </si>
  <si>
    <r>
      <t xml:space="preserve">Off-label = 1; </t>
    </r>
    <r>
      <rPr>
        <b/>
        <sz val="11"/>
        <color theme="1"/>
        <rFont val="Poppins"/>
      </rPr>
      <t>On-label = 5</t>
    </r>
  </si>
  <si>
    <t>Presencia del medicamento o estrategia terapéutica en guías de práctica clínica relevantes para la indicación evaluada. Refleja el respaldo de recomendaciones clínicas formales.</t>
  </si>
  <si>
    <r>
      <t xml:space="preserve">No incluido = 1; </t>
    </r>
    <r>
      <rPr>
        <b/>
        <sz val="11"/>
        <color theme="1"/>
        <rFont val="Poppins"/>
      </rPr>
      <t>Incluido = 5</t>
    </r>
  </si>
  <si>
    <t xml:space="preserve">N° inyecciones al año </t>
  </si>
  <si>
    <t xml:space="preserve">Costo administración </t>
  </si>
  <si>
    <t xml:space="preserve">Precio </t>
  </si>
  <si>
    <t>Celdas editables</t>
  </si>
  <si>
    <t>DOMINIOS</t>
  </si>
  <si>
    <t>Aflibercept 8mg (q12)</t>
  </si>
  <si>
    <t>Eficacia</t>
  </si>
  <si>
    <t>Total global obtenido</t>
  </si>
  <si>
    <t xml:space="preserve">Costo anual tratamiento </t>
  </si>
  <si>
    <t xml:space="preserve">Costo por beneficio neto </t>
  </si>
  <si>
    <t xml:space="preserve">Criterio </t>
  </si>
  <si>
    <t>Comparador</t>
  </si>
  <si>
    <t>Molecula</t>
  </si>
  <si>
    <t>D-H</t>
  </si>
  <si>
    <t xml:space="preserve">Referencias </t>
  </si>
  <si>
    <t xml:space="preserve">Supresión VEGF </t>
  </si>
  <si>
    <t xml:space="preserve">Posicionamiento terpéutico </t>
  </si>
  <si>
    <t xml:space="preserve">Eficacia, Seguridad, PROs </t>
  </si>
  <si>
    <t>2.Venkatesh, Ramesh et al. “Anti-VEGF safety in evolution: A comprehensive review of ocular and systemic considerations.” Indian journal of ophthalmology vol. 74,5 (2026): 748-759. doi:10.4103/IJO.IJO_3284_25</t>
  </si>
  <si>
    <t>3. Sharma, Sourabh et al. “Evidence-Based Guidelines for Intravitreal Anti-VEGF Therapy for Diabetic Retinopathy in Chronic Kidney Disease.” Diabetes therapy : research, treatment and education of diabetes and related disorders vol. 16,11 (2025): 2073-2082. doi:10.1007/s13300-025-01791-y</t>
  </si>
  <si>
    <t>1. Wells, John A et al. “Aflibercept, Bevacizumab, or Ranibizumab for Diabetic Macular Edema: Two-Year Results from a Comparative Effectiveness Randomized Clinical Trial.” Ophthalmology vol. 123,6 (2016): 1351-9. doi:10.1016/j.ophtha.2016.02.022</t>
  </si>
  <si>
    <t>4.INVIMA 2025MBT-0000160</t>
  </si>
  <si>
    <t>5. Lim, Jennifer I et al. “Diabetic Retinopathy Preferred Practice Pattern®.” Ophthalmology vol. 132,4 (2025): P75-P162. doi:10.1016/j.ophtha.2024.12.020</t>
  </si>
  <si>
    <t>1. Registro-clinical trials-NCT04429503</t>
  </si>
  <si>
    <t>1. Registro Clinical trials -RETAIN: NCT01171976</t>
  </si>
  <si>
    <t>4.INVIMA 2018M-0007158-R1</t>
  </si>
  <si>
    <t>1.  Registro-clinical trials-NCT03622580</t>
  </si>
  <si>
    <t>4. IINVIMA 2024MBT-0000108</t>
  </si>
  <si>
    <t>1. Registro-clinical trials-NCT03622580</t>
  </si>
  <si>
    <t xml:space="preserve">Detallado </t>
  </si>
  <si>
    <t xml:space="preserve">Comparativo </t>
  </si>
  <si>
    <t xml:space="preserve">Inputs costos </t>
  </si>
  <si>
    <t xml:space="preserve">Inputs evidencia </t>
  </si>
  <si>
    <t xml:space="preserve">Definiciones </t>
  </si>
  <si>
    <t xml:space="preserve"> Aflibercept 2 mg  (q8)</t>
  </si>
  <si>
    <t>Evento adverso serio 2/135 (1.48%)</t>
  </si>
  <si>
    <t>NCT01331681-VIVID-DME</t>
  </si>
  <si>
    <t>1, NCT01331681-VIVID-DME</t>
  </si>
  <si>
    <t>Descuento</t>
  </si>
  <si>
    <t>BD-BH</t>
  </si>
  <si>
    <t>L-P</t>
  </si>
  <si>
    <t>S-W</t>
  </si>
  <si>
    <t>Z-AD</t>
  </si>
  <si>
    <t>AG-AK</t>
  </si>
  <si>
    <t>AN-AR</t>
  </si>
  <si>
    <t>AU-AY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</si>
</sst>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$&quot;\ * #,##0.00_-;\-&quot;$&quot;\ * #,##0.00_-;_-&quot;$&quot;\ * &quot;-&quot;??_-;_-@_-"/>
    <numFmt numFmtId="165" formatCode=";;;"/>
    <numFmt numFmtId="166" formatCode="_-[$$-240A]\ * #,##0_-;\-[$$-240A]\ * #,##0_-;_-[$$-240A]\ * &quot;-&quot;_-;_-@_-"/>
    <numFmt numFmtId="167" formatCode="_-[$$-240A]\ * #,##0.00_-;\-[$$-240A]\ * #,##0.00_-;_-[$$-240A]\ * &quot;-&quot;??_-;_-@_-"/>
  </numFmts>
  <fonts count="25">
    <font>
      <sz val="11"/>
      <color theme="1"/>
      <name val="Calibri"/>
      <family val="2"/>
      <scheme val="minor"/>
    </font>
    <font>
      <i/>
      <sz val="10"/>
      <color rgb="FF7F8C8D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2E2E2E"/>
      <name val="Arial"/>
      <family val="2"/>
    </font>
    <font>
      <b/>
      <sz val="11"/>
      <color rgb="FFFFFFFF"/>
      <name val="Poppins"/>
    </font>
    <font>
      <b/>
      <sz val="11"/>
      <color rgb="FF143778"/>
      <name val="Poppins"/>
    </font>
    <font>
      <sz val="11"/>
      <color theme="1"/>
      <name val="Poppins"/>
    </font>
    <font>
      <b/>
      <sz val="36"/>
      <color rgb="FF143778"/>
      <name val="Poppins"/>
    </font>
    <font>
      <b/>
      <sz val="10"/>
      <color rgb="FF143778"/>
      <name val="Poppins"/>
    </font>
    <font>
      <b/>
      <sz val="18"/>
      <color rgb="FF143778"/>
      <name val="Poppins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0"/>
      <color rgb="FFFFFFFF"/>
      <name val="Poppins"/>
    </font>
    <font>
      <sz val="10"/>
      <color theme="1"/>
      <name val="Poppins"/>
    </font>
    <font>
      <sz val="8"/>
      <color theme="1"/>
      <name val="Poppins"/>
    </font>
    <font>
      <b/>
      <sz val="12"/>
      <color rgb="FF143778"/>
      <name val="Roboto "/>
    </font>
    <font>
      <sz val="12"/>
      <color theme="1"/>
      <name val="Roboto "/>
    </font>
    <font>
      <sz val="11"/>
      <color theme="1"/>
      <name val="Calibri"/>
      <family val="2"/>
      <scheme val="minor"/>
    </font>
    <font>
      <b/>
      <sz val="11"/>
      <color theme="1"/>
      <name val="Poppins"/>
    </font>
    <font>
      <b/>
      <sz val="11"/>
      <color theme="0"/>
      <name val="Poppins"/>
    </font>
    <font>
      <b/>
      <sz val="11"/>
      <color rgb="FFFFFFFF"/>
      <name val="Calibri"/>
      <family val="2"/>
    </font>
    <font>
      <b/>
      <sz val="11"/>
      <color theme="1"/>
      <name val="Calibri"/>
      <family val="2"/>
      <scheme val="minor"/>
    </font>
    <font>
      <b/>
      <sz val="9"/>
      <color rgb="FF143778"/>
      <name val="Poppins"/>
    </font>
    <font>
      <b/>
      <sz val="18"/>
      <color rgb="FF00008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4F7FC"/>
        <bgColor indexed="64"/>
      </patternFill>
    </fill>
    <fill>
      <patternFill patternType="solid">
        <fgColor rgb="FFE1EDFA"/>
        <bgColor indexed="64"/>
      </patternFill>
    </fill>
    <fill>
      <patternFill patternType="solid">
        <fgColor rgb="FF14377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173F82"/>
      </patternFill>
    </fill>
  </fills>
  <borders count="16">
    <border>
      <left/>
      <right/>
      <top/>
      <bottom/>
      <diagonal/>
    </border>
    <border>
      <left style="thin">
        <color rgb="FFA0C4E2"/>
      </left>
      <right style="thin">
        <color rgb="FFA0C4E2"/>
      </right>
      <top style="thin">
        <color rgb="FFA0C4E2"/>
      </top>
      <bottom style="thin">
        <color rgb="FFA0C4E2"/>
      </bottom>
      <diagonal/>
    </border>
    <border>
      <left style="thin">
        <color rgb="FF143778"/>
      </left>
      <right style="thin">
        <color rgb="FF143778"/>
      </right>
      <top style="thin">
        <color rgb="FF143778"/>
      </top>
      <bottom style="thin">
        <color rgb="FF143778"/>
      </bottom>
      <diagonal/>
    </border>
    <border>
      <left/>
      <right/>
      <top style="medium">
        <color rgb="FF143778"/>
      </top>
      <bottom style="thin">
        <color rgb="FFA0C4E2"/>
      </bottom>
      <diagonal/>
    </border>
    <border>
      <left/>
      <right/>
      <top/>
      <bottom style="thin">
        <color rgb="FFE0E0E0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143778"/>
      </left>
      <right style="thin">
        <color rgb="FF143778"/>
      </right>
      <top style="thin">
        <color rgb="FF143778"/>
      </top>
      <bottom/>
      <diagonal/>
    </border>
    <border>
      <left/>
      <right style="thin">
        <color rgb="FF143778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</cellStyleXfs>
  <cellXfs count="107">
    <xf numFmtId="0" fontId="0" fillId="0" borderId="0" xfId="0"/>
    <xf numFmtId="0" fontId="1" fillId="0" borderId="0" xfId="0" applyFont="1"/>
    <xf numFmtId="0" fontId="2" fillId="4" borderId="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5" borderId="0" xfId="0" applyFill="1"/>
    <xf numFmtId="0" fontId="4" fillId="4" borderId="2" xfId="0" applyFont="1" applyFill="1" applyBorder="1" applyAlignment="1">
      <alignment horizontal="left" vertical="center" indent="1"/>
    </xf>
    <xf numFmtId="0" fontId="4" fillId="4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2"/>
    </xf>
    <xf numFmtId="0" fontId="6" fillId="0" borderId="4" xfId="0" applyFont="1" applyBorder="1" applyAlignment="1">
      <alignment horizontal="center" vertical="center"/>
    </xf>
    <xf numFmtId="165" fontId="6" fillId="0" borderId="5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5" fillId="6" borderId="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4" fillId="4" borderId="2" xfId="0" applyFont="1" applyFill="1" applyBorder="1" applyAlignment="1">
      <alignment horizontal="center" wrapText="1"/>
    </xf>
    <xf numFmtId="166" fontId="11" fillId="11" borderId="0" xfId="0" applyNumberFormat="1" applyFont="1" applyFill="1" applyAlignment="1">
      <alignment horizontal="center" vertical="center"/>
    </xf>
    <xf numFmtId="166" fontId="11" fillId="11" borderId="0" xfId="0" applyNumberFormat="1" applyFont="1" applyFill="1" applyAlignment="1">
      <alignment vertical="center"/>
    </xf>
    <xf numFmtId="0" fontId="13" fillId="4" borderId="2" xfId="0" applyFont="1" applyFill="1" applyBorder="1" applyAlignment="1">
      <alignment horizontal="center" vertical="center"/>
    </xf>
    <xf numFmtId="0" fontId="14" fillId="5" borderId="8" xfId="0" applyFont="1" applyFill="1" applyBorder="1" applyAlignment="1">
      <alignment horizontal="left" vertical="center"/>
    </xf>
    <xf numFmtId="0" fontId="14" fillId="5" borderId="8" xfId="0" applyFont="1" applyFill="1" applyBorder="1" applyAlignment="1">
      <alignment horizontal="center" vertical="center"/>
    </xf>
    <xf numFmtId="0" fontId="0" fillId="5" borderId="0" xfId="0" applyFill="1" applyAlignment="1">
      <alignment wrapText="1"/>
    </xf>
    <xf numFmtId="0" fontId="3" fillId="5" borderId="0" xfId="0" applyFont="1" applyFill="1"/>
    <xf numFmtId="0" fontId="0" fillId="5" borderId="0" xfId="0" applyFill="1" applyAlignment="1">
      <alignment horizontal="left" vertical="center"/>
    </xf>
    <xf numFmtId="0" fontId="0" fillId="5" borderId="0" xfId="0" applyFill="1" applyAlignment="1">
      <alignment horizontal="left" vertical="center" wrapText="1"/>
    </xf>
    <xf numFmtId="0" fontId="14" fillId="5" borderId="9" xfId="0" applyFont="1" applyFill="1" applyBorder="1" applyAlignment="1">
      <alignment horizontal="left" vertical="center" wrapText="1"/>
    </xf>
    <xf numFmtId="0" fontId="14" fillId="5" borderId="9" xfId="0" applyFont="1" applyFill="1" applyBorder="1" applyAlignment="1">
      <alignment horizontal="center" vertical="center" wrapText="1"/>
    </xf>
    <xf numFmtId="0" fontId="15" fillId="5" borderId="9" xfId="0" applyFont="1" applyFill="1" applyBorder="1" applyAlignment="1">
      <alignment horizontal="center" wrapText="1"/>
    </xf>
    <xf numFmtId="0" fontId="14" fillId="5" borderId="8" xfId="0" applyFont="1" applyFill="1" applyBorder="1" applyAlignment="1">
      <alignment horizontal="left" vertical="center" wrapText="1"/>
    </xf>
    <xf numFmtId="0" fontId="14" fillId="5" borderId="8" xfId="0" applyFont="1" applyFill="1" applyBorder="1" applyAlignment="1">
      <alignment horizontal="center" vertical="center" wrapText="1"/>
    </xf>
    <xf numFmtId="0" fontId="15" fillId="5" borderId="8" xfId="0" applyFont="1" applyFill="1" applyBorder="1" applyAlignment="1">
      <alignment horizontal="center" wrapText="1"/>
    </xf>
    <xf numFmtId="0" fontId="6" fillId="5" borderId="0" xfId="0" applyFont="1" applyFill="1"/>
    <xf numFmtId="0" fontId="4" fillId="4" borderId="7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wrapText="1"/>
    </xf>
    <xf numFmtId="0" fontId="13" fillId="4" borderId="10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left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vertical="center"/>
    </xf>
    <xf numFmtId="0" fontId="0" fillId="0" borderId="0" xfId="0" applyAlignment="1">
      <alignment wrapText="1"/>
    </xf>
    <xf numFmtId="0" fontId="0" fillId="5" borderId="0" xfId="0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vertical="center"/>
    </xf>
    <xf numFmtId="2" fontId="5" fillId="5" borderId="0" xfId="0" applyNumberFormat="1" applyFont="1" applyFill="1" applyAlignment="1">
      <alignment vertical="center"/>
    </xf>
    <xf numFmtId="0" fontId="6" fillId="5" borderId="0" xfId="0" applyFont="1" applyFill="1" applyAlignment="1">
      <alignment horizontal="left"/>
    </xf>
    <xf numFmtId="0" fontId="6" fillId="5" borderId="12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 wrapText="1"/>
    </xf>
    <xf numFmtId="0" fontId="21" fillId="13" borderId="0" xfId="0" applyFont="1" applyFill="1" applyAlignment="1">
      <alignment horizontal="center" wrapText="1"/>
    </xf>
    <xf numFmtId="164" fontId="16" fillId="5" borderId="7" xfId="1" applyFont="1" applyFill="1" applyBorder="1" applyAlignment="1">
      <alignment horizontal="center" wrapText="1"/>
    </xf>
    <xf numFmtId="167" fontId="0" fillId="5" borderId="7" xfId="0" applyNumberFormat="1" applyFill="1" applyBorder="1"/>
    <xf numFmtId="0" fontId="0" fillId="0" borderId="7" xfId="0" applyBorder="1" applyAlignment="1">
      <alignment wrapText="1"/>
    </xf>
    <xf numFmtId="2" fontId="0" fillId="0" borderId="7" xfId="0" applyNumberFormat="1" applyBorder="1" applyAlignment="1">
      <alignment wrapText="1"/>
    </xf>
    <xf numFmtId="2" fontId="5" fillId="5" borderId="0" xfId="0" applyNumberFormat="1" applyFont="1" applyFill="1" applyAlignment="1">
      <alignment horizontal="center" vertical="center"/>
    </xf>
    <xf numFmtId="164" fontId="5" fillId="5" borderId="0" xfId="0" applyNumberFormat="1" applyFont="1" applyFill="1" applyAlignment="1">
      <alignment vertical="center"/>
    </xf>
    <xf numFmtId="0" fontId="5" fillId="5" borderId="0" xfId="0" applyFont="1" applyFill="1" applyAlignment="1">
      <alignment horizontal="center" vertical="center"/>
    </xf>
    <xf numFmtId="0" fontId="22" fillId="5" borderId="0" xfId="0" applyFont="1" applyFill="1"/>
    <xf numFmtId="0" fontId="23" fillId="5" borderId="0" xfId="0" applyFont="1" applyFill="1" applyAlignment="1">
      <alignment horizontal="center" vertical="center" wrapText="1"/>
    </xf>
    <xf numFmtId="0" fontId="4" fillId="13" borderId="0" xfId="0" applyFont="1" applyFill="1" applyAlignment="1">
      <alignment horizontal="center" vertical="center" wrapText="1"/>
    </xf>
    <xf numFmtId="2" fontId="5" fillId="5" borderId="7" xfId="0" applyNumberFormat="1" applyFont="1" applyFill="1" applyBorder="1" applyAlignment="1">
      <alignment vertical="center"/>
    </xf>
    <xf numFmtId="2" fontId="5" fillId="5" borderId="12" xfId="0" applyNumberFormat="1" applyFont="1" applyFill="1" applyBorder="1" applyAlignment="1">
      <alignment vertical="center"/>
    </xf>
    <xf numFmtId="9" fontId="5" fillId="5" borderId="7" xfId="2" applyFont="1" applyFill="1" applyBorder="1" applyAlignment="1">
      <alignment vertical="center"/>
    </xf>
    <xf numFmtId="167" fontId="16" fillId="5" borderId="7" xfId="0" applyNumberFormat="1" applyFont="1" applyFill="1" applyBorder="1" applyAlignment="1">
      <alignment horizont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4" fillId="12" borderId="2" xfId="0" applyFont="1" applyFill="1" applyBorder="1" applyAlignment="1" applyProtection="1">
      <alignment horizontal="center" vertical="center"/>
      <protection locked="0"/>
    </xf>
    <xf numFmtId="0" fontId="4" fillId="12" borderId="2" xfId="0" applyFont="1" applyFill="1" applyBorder="1" applyAlignment="1" applyProtection="1">
      <alignment horizontal="center" vertical="center" wrapText="1"/>
      <protection locked="0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16" fillId="5" borderId="7" xfId="0" applyFont="1" applyFill="1" applyBorder="1" applyAlignment="1" applyProtection="1">
      <alignment horizontal="center" wrapText="1"/>
      <protection locked="0"/>
    </xf>
    <xf numFmtId="167" fontId="16" fillId="5" borderId="7" xfId="0" applyNumberFormat="1" applyFont="1" applyFill="1" applyBorder="1" applyAlignment="1" applyProtection="1">
      <alignment horizontal="center" wrapText="1"/>
      <protection locked="0"/>
    </xf>
    <xf numFmtId="167" fontId="16" fillId="5" borderId="7" xfId="0" applyNumberFormat="1" applyFont="1" applyFill="1" applyBorder="1" applyAlignment="1" applyProtection="1">
      <alignment horizontal="center"/>
      <protection locked="0"/>
    </xf>
    <xf numFmtId="0" fontId="17" fillId="5" borderId="0" xfId="0" applyFont="1" applyFill="1" applyAlignment="1" applyProtection="1">
      <alignment horizontal="center" wrapText="1"/>
      <protection locked="0"/>
    </xf>
    <xf numFmtId="0" fontId="16" fillId="5" borderId="0" xfId="0" applyFont="1" applyFill="1" applyAlignment="1" applyProtection="1">
      <alignment horizontal="center" wrapText="1"/>
      <protection locked="0"/>
    </xf>
    <xf numFmtId="0" fontId="6" fillId="5" borderId="0" xfId="0" applyFont="1" applyFill="1" applyProtection="1">
      <protection locked="0"/>
    </xf>
    <xf numFmtId="0" fontId="6" fillId="12" borderId="0" xfId="0" applyFont="1" applyFill="1" applyProtection="1">
      <protection locked="0"/>
    </xf>
    <xf numFmtId="2" fontId="5" fillId="5" borderId="12" xfId="0" applyNumberFormat="1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2" fontId="5" fillId="5" borderId="7" xfId="0" applyNumberFormat="1" applyFont="1" applyFill="1" applyBorder="1" applyAlignment="1">
      <alignment horizontal="center" vertical="center"/>
    </xf>
    <xf numFmtId="164" fontId="5" fillId="5" borderId="12" xfId="0" applyNumberFormat="1" applyFont="1" applyFill="1" applyBorder="1" applyAlignment="1">
      <alignment horizontal="center" vertical="center"/>
    </xf>
    <xf numFmtId="164" fontId="5" fillId="5" borderId="8" xfId="0" applyNumberFormat="1" applyFont="1" applyFill="1" applyBorder="1" applyAlignment="1">
      <alignment horizontal="center" vertical="center"/>
    </xf>
    <xf numFmtId="164" fontId="5" fillId="5" borderId="13" xfId="0" applyNumberFormat="1" applyFont="1" applyFill="1" applyBorder="1" applyAlignment="1">
      <alignment horizontal="center" vertical="center"/>
    </xf>
    <xf numFmtId="164" fontId="5" fillId="5" borderId="8" xfId="0" applyNumberFormat="1" applyFont="1" applyFill="1" applyBorder="1" applyAlignment="1">
      <alignment horizontal="left"/>
    </xf>
    <xf numFmtId="164" fontId="5" fillId="5" borderId="12" xfId="0" applyNumberFormat="1" applyFont="1" applyFill="1" applyBorder="1" applyAlignment="1">
      <alignment horizontal="center"/>
    </xf>
    <xf numFmtId="164" fontId="5" fillId="5" borderId="8" xfId="0" applyNumberFormat="1" applyFont="1" applyFill="1" applyBorder="1" applyAlignment="1">
      <alignment horizontal="center"/>
    </xf>
    <xf numFmtId="164" fontId="5" fillId="5" borderId="13" xfId="0" applyNumberFormat="1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2" fontId="6" fillId="8" borderId="6" xfId="0" applyNumberFormat="1" applyFont="1" applyFill="1" applyBorder="1" applyAlignment="1">
      <alignment horizontal="center" vertical="center"/>
    </xf>
    <xf numFmtId="2" fontId="6" fillId="10" borderId="6" xfId="0" applyNumberFormat="1" applyFont="1" applyFill="1" applyBorder="1" applyAlignment="1">
      <alignment horizontal="center" vertical="center"/>
    </xf>
    <xf numFmtId="2" fontId="6" fillId="9" borderId="6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2" fontId="6" fillId="7" borderId="6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4" fillId="13" borderId="0" xfId="0" applyFont="1" applyFill="1" applyAlignment="1">
      <alignment horizontal="center" vertical="center" wrapText="1"/>
    </xf>
    <xf numFmtId="0" fontId="15" fillId="5" borderId="0" xfId="0" applyFont="1" applyFill="1" applyAlignment="1">
      <alignment horizontal="left" vertical="top" wrapText="1"/>
    </xf>
    <xf numFmtId="0" fontId="23" fillId="5" borderId="0" xfId="0" applyFont="1" applyFill="1" applyAlignment="1">
      <alignment horizontal="center" vertical="center" wrapText="1"/>
    </xf>
    <xf numFmtId="0" fontId="15" fillId="5" borderId="0" xfId="0" applyFont="1" applyFill="1" applyAlignment="1">
      <alignment horizontal="left" vertical="center" wrapText="1"/>
    </xf>
  </cellXfs>
  <cellStyles count="3">
    <cellStyle name="Moneda" xfId="1" builtinId="4"/>
    <cellStyle name="Normal" xfId="0" builtinId="0"/>
    <cellStyle name="Porcentaje" xfId="2" builtinId="5"/>
  </cellStyles>
  <dxfs count="92"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</dxfs>
  <tableStyles count="0" defaultTableStyle="TableStyleMedium9" defaultPivotStyle="PivotStyleLight16"/>
  <colors>
    <mruColors>
      <color rgb="FF143778"/>
      <color rgb="FFE1ED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Puntaje</c:v>
          </c:tx>
          <c:dPt>
            <c:idx val="0"/>
            <c:bubble3D val="0"/>
            <c:spPr>
              <a:solidFill>
                <a:srgbClr val="143778"/>
              </a:solidFill>
            </c:spPr>
            <c:extLst>
              <c:ext xmlns:c16="http://schemas.microsoft.com/office/drawing/2014/chart" uri="{C3380CC4-5D6E-409C-BE32-E72D297353CC}">
                <c16:uniqueId val="{00000000-354E-4AE5-833D-75D6D41F42C0}"/>
              </c:ext>
            </c:extLst>
          </c:dPt>
          <c:dPt>
            <c:idx val="1"/>
            <c:bubble3D val="0"/>
            <c:spPr>
              <a:solidFill>
                <a:srgbClr val="E1EDFA"/>
              </a:solidFill>
            </c:spPr>
            <c:extLst>
              <c:ext xmlns:c16="http://schemas.microsoft.com/office/drawing/2014/chart" uri="{C3380CC4-5D6E-409C-BE32-E72D297353CC}">
                <c16:uniqueId val="{00000001-354E-4AE5-833D-75D6D41F42C0}"/>
              </c:ext>
            </c:extLst>
          </c:dPt>
          <c:cat>
            <c:strRef>
              <c:f>ChartData!$A$1:$B$1</c:f>
              <c:strCache>
                <c:ptCount val="2"/>
                <c:pt idx="0">
                  <c:v>Score</c:v>
                </c:pt>
                <c:pt idx="1">
                  <c:v>Remaining</c:v>
                </c:pt>
              </c:strCache>
            </c:strRef>
          </c:cat>
          <c:val>
            <c:numRef>
              <c:f>ChartData!$A$2:$B$2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4E-4AE5-833D-75D6D41F4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Poppins" panose="00000500000000000000" pitchFamily="2" charset="0"/>
                <a:ea typeface="+mn-ea"/>
                <a:cs typeface="Poppins" panose="00000500000000000000" pitchFamily="2" charset="0"/>
              </a:defRPr>
            </a:pPr>
            <a:r>
              <a:rPr lang="es-CO"/>
              <a:t>Grado de cumplimiento del dominio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baseline="0">
              <a:solidFill>
                <a:schemeClr val="tx1">
                  <a:lumMod val="65000"/>
                  <a:lumOff val="35000"/>
                </a:schemeClr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75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val>
            <c:numRef>
              <c:f>'MCDA Advanced Dashboard'!$G$16</c:f>
              <c:numCache>
                <c:formatCode>0.00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EA-49DC-ADB6-7D55CB0CF0E1}"/>
            </c:ext>
          </c:extLst>
        </c:ser>
        <c:ser>
          <c:idx val="2"/>
          <c:order val="2"/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accent3">
                  <a:lumMod val="75000"/>
                </a:schemeClr>
              </a:solidFill>
            </a:ln>
            <a:effectLst/>
          </c:spPr>
          <c:invertIfNegative val="0"/>
          <c:val>
            <c:numRef>
              <c:f>'MCDA Advanced Dashboard'!$G$19</c:f>
              <c:numCache>
                <c:formatCode>0.00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EA-49DC-ADB6-7D55CB0CF0E1}"/>
            </c:ext>
          </c:extLst>
        </c:ser>
        <c:ser>
          <c:idx val="6"/>
          <c:order val="6"/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Mod val="75000"/>
                </a:schemeClr>
              </a:solidFill>
            </a:ln>
            <a:effectLst/>
          </c:spPr>
          <c:invertIfNegative val="0"/>
          <c:val>
            <c:numRef>
              <c:f>'MCDA Advanced Dashboard'!$G$24</c:f>
              <c:numCache>
                <c:formatCode>0.00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EA-49DC-ADB6-7D55CB0CF0E1}"/>
            </c:ext>
          </c:extLst>
        </c:ser>
        <c:ser>
          <c:idx val="8"/>
          <c:order val="8"/>
          <c:spPr>
            <a:solidFill>
              <a:schemeClr val="accent5">
                <a:lumMod val="75000"/>
              </a:schemeClr>
            </a:solidFill>
            <a:ln>
              <a:solidFill>
                <a:schemeClr val="accent3">
                  <a:lumMod val="60000"/>
                  <a:lumMod val="75000"/>
                </a:schemeClr>
              </a:solidFill>
            </a:ln>
            <a:effectLst/>
          </c:spPr>
          <c:invertIfNegative val="0"/>
          <c:val>
            <c:numRef>
              <c:f>'MCDA Advanced Dashboard'!$G$27</c:f>
              <c:numCache>
                <c:formatCode>0.00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CEA-49DC-ADB6-7D55CB0CF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786703"/>
        <c:axId val="30800431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solidFill>
                      <a:schemeClr val="accent2">
                        <a:lumMod val="75000"/>
                      </a:schemeClr>
                    </a:solidFill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'MCDA Advanced Dashboard'!$G$17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0CEA-49DC-ADB6-7D55CB0CF0E1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solidFill>
                      <a:schemeClr val="accent4">
                        <a:lumMod val="75000"/>
                      </a:schemeClr>
                    </a:solidFill>
                  </a:ln>
                  <a:effectLst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'MCDA Advanced Dashboard'!$G$20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CEA-49DC-ADB6-7D55CB0CF0E1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solidFill>
                      <a:schemeClr val="accent5">
                        <a:lumMod val="75000"/>
                      </a:schemeClr>
                    </a:solidFill>
                  </a:ln>
                  <a:effectLst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'MCDA Advanced Dashboard'!$G$21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CEA-49DC-ADB6-7D55CB0CF0E1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solidFill>
                      <a:schemeClr val="accent6">
                        <a:lumMod val="75000"/>
                      </a:schemeClr>
                    </a:solidFill>
                  </a:ln>
                  <a:effectLst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'MCDA Advanced Dashboard'!$G$22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CEA-49DC-ADB6-7D55CB0CF0E1}"/>
                  </c:ext>
                </c:extLst>
              </c15:ser>
            </c15:filteredBarSeries>
            <c15:filteredBarSeries>
              <c15:ser>
                <c:idx val="7"/>
                <c:order val="7"/>
                <c:spPr>
                  <a:solidFill>
                    <a:schemeClr val="accent2">
                      <a:lumMod val="60000"/>
                    </a:schemeClr>
                  </a:solidFill>
                  <a:ln>
                    <a:solidFill>
                      <a:schemeClr val="accent2">
                        <a:lumMod val="60000"/>
                        <a:lumMod val="75000"/>
                      </a:schemeClr>
                    </a:solidFill>
                  </a:ln>
                  <a:effectLst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'MCDA Advanced Dashboard'!$G$25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CEA-49DC-ADB6-7D55CB0CF0E1}"/>
                  </c:ext>
                </c:extLst>
              </c15:ser>
            </c15:filteredBarSeries>
            <c15:filteredBarSeries>
              <c15:ser>
                <c:idx val="9"/>
                <c:order val="9"/>
                <c:spPr>
                  <a:solidFill>
                    <a:schemeClr val="accent4">
                      <a:lumMod val="60000"/>
                    </a:schemeClr>
                  </a:solidFill>
                  <a:ln>
                    <a:solidFill>
                      <a:schemeClr val="accent4">
                        <a:lumMod val="60000"/>
                        <a:lumMod val="75000"/>
                      </a:schemeClr>
                    </a:solidFill>
                  </a:ln>
                  <a:effectLst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'MCDA Advanced Dashboard'!$G$28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CEA-49DC-ADB6-7D55CB0CF0E1}"/>
                  </c:ext>
                </c:extLst>
              </c15:ser>
            </c15:filteredBarSeries>
          </c:ext>
        </c:extLst>
      </c:barChart>
      <c:catAx>
        <c:axId val="307867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800431"/>
        <c:crosses val="autoZero"/>
        <c:auto val="1"/>
        <c:lblAlgn val="ctr"/>
        <c:lblOffset val="100"/>
        <c:noMultiLvlLbl val="0"/>
      </c:catAx>
      <c:valAx>
        <c:axId val="30800431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Poppins" panose="00000500000000000000" pitchFamily="2" charset="0"/>
                <a:ea typeface="+mn-ea"/>
                <a:cs typeface="Poppins" panose="00000500000000000000" pitchFamily="2" charset="0"/>
              </a:defRPr>
            </a:pPr>
            <a:endParaRPr lang="es-CO"/>
          </a:p>
        </c:txPr>
        <c:crossAx val="30786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52400" h="50800" prst="softRound"/>
      <a:bevelB prst="convex"/>
    </a:sp3d>
  </c:spPr>
  <c:txPr>
    <a:bodyPr/>
    <a:lstStyle/>
    <a:p>
      <a:pPr>
        <a:defRPr>
          <a:latin typeface="Poppins" panose="00000500000000000000" pitchFamily="2" charset="0"/>
          <a:cs typeface="Poppins" panose="00000500000000000000" pitchFamily="2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  <a:scene3d>
        <a:camera prst="orthographicFront"/>
        <a:lightRig rig="threePt" dir="t"/>
      </a:scene3d>
      <a:sp3d prstMaterial="translucentPowder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trlProps/ctrlProp1.xml><?xml version="1.0" encoding="utf-8"?>
<formControlPr xmlns="http://schemas.microsoft.com/office/spreadsheetml/2009/9/main" objectType="CheckBox" checked="Checked" fmlaLink="$P$13" lockText="1" noThreeD="1"/>
</file>

<file path=xl/ctrlProps/ctrlProp2.xml><?xml version="1.0" encoding="utf-8"?>
<formControlPr xmlns="http://schemas.microsoft.com/office/spreadsheetml/2009/9/main" objectType="CheckBox" checked="Checked" fmlaLink="$P$14" lockText="1" noThreeD="1"/>
</file>

<file path=xl/ctrlProps/ctrlProp3.xml><?xml version="1.0" encoding="utf-8"?>
<formControlPr xmlns="http://schemas.microsoft.com/office/spreadsheetml/2009/9/main" objectType="CheckBox" checked="Checked" fmlaLink="$P$15" lockText="1" noThreeD="1"/>
</file>

<file path=xl/ctrlProps/ctrlProp4.xml><?xml version="1.0" encoding="utf-8"?>
<formControlPr xmlns="http://schemas.microsoft.com/office/spreadsheetml/2009/9/main" objectType="CheckBox" checked="Checked" fmlaLink="$P$16" lockText="1" noThreeD="1"/>
</file>

<file path=xl/ctrlProps/ctrlProp5.xml><?xml version="1.0" encoding="utf-8"?>
<formControlPr xmlns="http://schemas.microsoft.com/office/spreadsheetml/2009/9/main" objectType="CheckBox" checked="Checked" fmlaLink="$P$17" lockText="1" noThreeD="1"/>
</file>

<file path=xl/ctrlProps/ctrlProp6.xml><?xml version="1.0" encoding="utf-8"?>
<formControlPr xmlns="http://schemas.microsoft.com/office/spreadsheetml/2009/9/main" objectType="CheckBox" checked="Checked" fmlaLink="$P$18" lockText="1" noThreeD="1"/>
</file>

<file path=xl/ctrlProps/ctrlProp7.xml><?xml version="1.0" encoding="utf-8"?>
<formControlPr xmlns="http://schemas.microsoft.com/office/spreadsheetml/2009/9/main" objectType="CheckBox" checked="Checked" fmlaLink="$P$19" lockText="1" noThreeD="1"/>
</file>

<file path=xl/ctrlProps/ctrlProp8.xml><?xml version="1.0" encoding="utf-8"?>
<formControlPr xmlns="http://schemas.microsoft.com/office/spreadsheetml/2009/9/main" objectType="CheckBox" checked="Checked" fmlaLink="$P$20" lockText="1" noThreeD="1"/>
</file>

<file path=xl/ctrlProps/ctrlProp9.xml><?xml version="1.0" encoding="utf-8"?>
<formControlPr xmlns="http://schemas.microsoft.com/office/spreadsheetml/2009/9/main" objectType="Button" lockText="1"/>
</file>

<file path=xl/diagrams/_rels/data1.xml.rels><?xml version="1.0" encoding="UTF-8" standalone="yes"?>
<Relationships xmlns="http://schemas.openxmlformats.org/package/2006/relationships"><Relationship Id="rId8" Type="http://schemas.openxmlformats.org/officeDocument/2006/relationships/hyperlink" Target="#'Definiciones '!C6"/><Relationship Id="rId3" Type="http://schemas.openxmlformats.org/officeDocument/2006/relationships/hyperlink" Target="#'Definiciones '!C5"/><Relationship Id="rId7" Type="http://schemas.openxmlformats.org/officeDocument/2006/relationships/hyperlink" Target="#'Definiciones '!C12"/><Relationship Id="rId2" Type="http://schemas.openxmlformats.org/officeDocument/2006/relationships/hyperlink" Target="#'Definiciones '!C8"/><Relationship Id="rId1" Type="http://schemas.openxmlformats.org/officeDocument/2006/relationships/hyperlink" Target="#'Definiciones '!C7"/><Relationship Id="rId6" Type="http://schemas.openxmlformats.org/officeDocument/2006/relationships/hyperlink" Target="#'Definiciones '!C11"/><Relationship Id="rId5" Type="http://schemas.openxmlformats.org/officeDocument/2006/relationships/hyperlink" Target="#'Definiciones '!C10"/><Relationship Id="rId10" Type="http://schemas.openxmlformats.org/officeDocument/2006/relationships/hyperlink" Target="#'Definiciones '!C14"/><Relationship Id="rId4" Type="http://schemas.openxmlformats.org/officeDocument/2006/relationships/hyperlink" Target="#'Definiciones '!C9"/><Relationship Id="rId9" Type="http://schemas.openxmlformats.org/officeDocument/2006/relationships/hyperlink" Target="#'Definiciones '!C13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0_3">
  <dgm:title val=""/>
  <dgm:desc val=""/>
  <dgm:catLst>
    <dgm:cat type="mainScheme" pri="10300"/>
  </dgm:catLst>
  <dgm:styleLbl name="node0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lignNode1">
    <dgm:fillClrLst meth="repeat">
      <a:schemeClr val="dk2"/>
    </dgm:fillClrLst>
    <dgm:linClrLst meth="repeat">
      <a:schemeClr val="dk2"/>
    </dgm:linClrLst>
    <dgm:effectClrLst/>
    <dgm:txLinClrLst/>
    <dgm:txFillClrLst/>
    <dgm:txEffectClrLst/>
  </dgm:styleLbl>
  <dgm:styleLbl name="node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lnNode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vennNode1">
    <dgm:fillClrLst meth="repeat">
      <a:schemeClr val="dk2">
        <a:alpha val="50000"/>
      </a:schemeClr>
    </dgm:fillClrLst>
    <dgm:linClrLst meth="repeat">
      <a:schemeClr val="lt2"/>
    </dgm:linClrLst>
    <dgm:effectClrLst/>
    <dgm:txLinClrLst/>
    <dgm:txFillClrLst/>
    <dgm:txEffectClrLst/>
  </dgm:styleLbl>
  <dgm:styleLbl name="node2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node3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node4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fgImgPlace1">
    <dgm:fillClrLst meth="repeat">
      <a:schemeClr val="dk2">
        <a:tint val="50000"/>
      </a:schemeClr>
    </dgm:fillClrLst>
    <dgm:linClrLst meth="repeat">
      <a:schemeClr val="lt2"/>
    </dgm:linClrLst>
    <dgm:effectClrLst/>
    <dgm:txLinClrLst/>
    <dgm:txFillClrLst meth="repeat">
      <a:schemeClr val="lt2"/>
    </dgm:txFillClrLst>
    <dgm:txEffectClrLst/>
  </dgm:styleLbl>
  <dgm:styleLbl name="alignImgPlace1">
    <dgm:fillClrLst meth="repeat">
      <a:schemeClr val="dk2">
        <a:tint val="5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2"/>
    </dgm:txFillClrLst>
    <dgm:txEffectClrLst/>
  </dgm:styleLbl>
  <dgm:styleLbl name="bgImgPlace1">
    <dgm:fillClrLst meth="repeat">
      <a:schemeClr val="dk2">
        <a:tint val="5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2"/>
    </dgm:txFillClrLst>
    <dgm:txEffectClrLst/>
  </dgm:styleLbl>
  <dgm:styleLbl name="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callout">
    <dgm:fillClrLst meth="repeat">
      <a:schemeClr val="dk2"/>
    </dgm:fillClrLst>
    <dgm:linClrLst meth="repeat">
      <a:schemeClr val="dk2">
        <a:tint val="50000"/>
      </a:schemeClr>
    </dgm:linClrLst>
    <dgm:effectClrLst/>
    <dgm:txLinClrLst/>
    <dgm:txFillClrLst meth="repeat">
      <a:schemeClr val="lt2"/>
    </dgm:txFillClrLst>
    <dgm:txEffectClrLst/>
  </dgm:styleLbl>
  <dgm:styleLbl name="asst0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2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3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4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parCh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 meth="repeat">
      <a:schemeClr val="lt2"/>
    </dgm:txFillClrLst>
    <dgm:txEffectClrLst/>
  </dgm:styleLbl>
  <dgm:styleLbl name="parChTrans2D2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2D3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2D4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1D1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2">
        <a:alpha val="4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dk2">
        <a:tint val="4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dk2">
        <a:shade val="80000"/>
      </a:schemeClr>
    </dgm:fillClrLst>
    <dgm:linClrLst meth="repeat">
      <a:schemeClr val="dk2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dk2">
        <a:tint val="50000"/>
        <a:alpha val="40000"/>
      </a:schemeClr>
    </dgm:fillClrLst>
    <dgm:linClrLst meth="repeat">
      <a:schemeClr val="dk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dk2">
        <a:tint val="60000"/>
      </a:schemeClr>
    </dgm:fillClrLst>
    <dgm:linClrLst meth="repeat">
      <a:schemeClr val="lt2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2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113A2C7B-4FE8-4DC4-9AA5-45D4993DD66B}" type="doc">
      <dgm:prSet loTypeId="urn:microsoft.com/office/officeart/2005/8/layout/radial1" loCatId="cycle" qsTypeId="urn:microsoft.com/office/officeart/2005/8/quickstyle/3d3" qsCatId="3D" csTypeId="urn:microsoft.com/office/officeart/2005/8/colors/accent0_3" csCatId="mainScheme" phldr="1"/>
      <dgm:spPr/>
      <dgm:t>
        <a:bodyPr/>
        <a:lstStyle/>
        <a:p>
          <a:endParaRPr lang="es-CO"/>
        </a:p>
      </dgm:t>
    </dgm:pt>
    <dgm:pt modelId="{13E95CCA-177B-4FBE-A3DB-A6965707891A}">
      <dgm:prSet phldrT="[Texto]" custT="1"/>
      <dgm:spPr/>
      <dgm:t>
        <a:bodyPr/>
        <a:lstStyle/>
        <a:p>
          <a:r>
            <a:rPr lang="es-CO" sz="900" b="1" dirty="0">
              <a:latin typeface="Poppins" panose="00000500000000000000" pitchFamily="2" charset="0"/>
              <a:cs typeface="Poppins" panose="00000500000000000000" pitchFamily="2" charset="0"/>
            </a:rPr>
            <a:t>Valor</a:t>
          </a:r>
        </a:p>
      </dgm:t>
    </dgm:pt>
    <dgm:pt modelId="{254A917C-7F73-4B19-B2AD-85BE89B2C770}" type="parTrans" cxnId="{583D62BE-864E-4DAF-97AB-0050E67B3531}">
      <dgm:prSet/>
      <dgm:spPr/>
      <dgm:t>
        <a:bodyPr/>
        <a:lstStyle/>
        <a:p>
          <a:endParaRPr lang="es-CO" sz="900" b="1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02B830B3-3D88-4B30-87C6-969368206C99}" type="sibTrans" cxnId="{583D62BE-864E-4DAF-97AB-0050E67B3531}">
      <dgm:prSet/>
      <dgm:spPr/>
      <dgm:t>
        <a:bodyPr/>
        <a:lstStyle/>
        <a:p>
          <a:endParaRPr lang="es-CO" sz="900" b="1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888615A7-5A8E-4ED6-8C99-09A5710B1F21}">
      <dgm:prSet phldrT="[Texto]" custT="1"/>
      <dgm:spPr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Desprendimiento de retina 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84D28295-F7D0-4029-8588-B33D08B3C156}" type="parTrans" cxnId="{36FB751E-C643-4F9E-943F-65BE371D3D53}">
      <dgm:prSet custT="1"/>
      <dgm:spPr/>
      <dgm:t>
        <a:bodyPr/>
        <a:lstStyle/>
        <a:p>
          <a:endParaRPr lang="es-CO" sz="900" b="1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CB2CB155-DEC4-46D8-B617-D6B1846A2033}" type="sibTrans" cxnId="{36FB751E-C643-4F9E-943F-65BE371D3D53}">
      <dgm:prSet/>
      <dgm:spPr/>
      <dgm:t>
        <a:bodyPr/>
        <a:lstStyle/>
        <a:p>
          <a:endParaRPr lang="es-CO" sz="900" b="1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189365EA-D99F-4681-99DF-987420B4E522}">
      <dgm:prSet phldrT="[Texto]" custT="1"/>
      <dgm:spPr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Infarto agudo de miocardio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4F174036-2877-43DE-816C-735F269B9E21}" type="parTrans" cxnId="{69B2D13B-4478-459F-A0B6-6A1CF3291A46}">
      <dgm:prSet custT="1"/>
      <dgm:spPr/>
      <dgm:t>
        <a:bodyPr/>
        <a:lstStyle/>
        <a:p>
          <a:endParaRPr lang="es-CO" sz="900" b="1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0517C887-C34A-4E87-8A2B-E20F718AB229}" type="sibTrans" cxnId="{69B2D13B-4478-459F-A0B6-6A1CF3291A46}">
      <dgm:prSet/>
      <dgm:spPr/>
      <dgm:t>
        <a:bodyPr/>
        <a:lstStyle/>
        <a:p>
          <a:endParaRPr lang="es-CO" sz="900" b="1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6443374D-ABEA-48F4-AD8D-80947E0B0A46}">
      <dgm:prSet phldrT="[Texto]" custT="1"/>
      <dgm:spPr>
        <a:solidFill>
          <a:srgbClr val="143778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" lastClr="FFFFFF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Cambio medio en (BCVA)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55C50252-36F7-4B30-AE34-B5D894DEDBA5}" type="parTrans" cxnId="{D7E9484C-2AF3-46D1-8F0F-269D1DB8DDC5}">
      <dgm:prSet custT="1"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A8D5B15C-49A8-4564-A445-98EAE4BF15F4}" type="sibTrans" cxnId="{D7E9484C-2AF3-46D1-8F0F-269D1DB8DDC5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789DA829-F7B3-486A-8DEE-6D455D944DCE}">
      <dgm:prSet phldrT="[Texto]" custT="1"/>
      <dgm:spPr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Endoftalmitis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3E8BFED0-AAA0-4084-81E2-916272689B80}" type="parTrans" cxnId="{FA95DE9C-AA3C-422B-9D95-67DA3937BC81}">
      <dgm:prSet custT="1"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B9121F74-1803-4761-8696-927BC8BA7D0F}" type="sibTrans" cxnId="{FA95DE9C-AA3C-422B-9D95-67DA3937BC81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990F8C8D-67EE-4CA9-893D-707AFCB30DB0}">
      <dgm:prSet phldrT="[Texto]" custT="1"/>
      <dgm:spPr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Supresión sistémica de VEGF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EA0B72A7-4248-4606-BEDA-B4A2174DBD62}" type="parTrans" cxnId="{6D3F8B78-DC4E-48A3-979F-A33FCC3874E0}">
      <dgm:prSet custT="1"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378A1C52-DF3F-4770-B145-15EA19BD8A3F}" type="sibTrans" cxnId="{6D3F8B78-DC4E-48A3-979F-A33FCC3874E0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C0959E24-B0C6-4921-AF82-026AD8573F4C}">
      <dgm:prSet phldrT="[Texto]" custT="1"/>
      <dgm:spPr>
        <a:solidFill>
          <a:srgbClr val="4BACC6">
            <a:lumMod val="75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5715" tIns="5715" rIns="5715" bIns="5715" numCol="1" spcCol="1270" anchor="ctr" anchorCtr="0"/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Calidad de vida</a:t>
          </a:r>
        </a:p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b="1" kern="1200" dirty="0">
            <a:solidFill>
              <a:sysClr val="windowText" lastClr="000000"/>
            </a:solidFill>
            <a:latin typeface="Poppins" panose="00000500000000000000" pitchFamily="2" charset="0"/>
            <a:ea typeface="+mn-ea"/>
            <a:cs typeface="Poppins" panose="00000500000000000000" pitchFamily="2" charset="0"/>
          </a:endParaRP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BA71876F-A685-44D6-B0F8-F8E34E2823E8}" type="parTrans" cxnId="{DE7F1B94-E381-4722-9CF1-AD9DBCA2F533}">
      <dgm:prSet custT="1"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E856C8F8-6E38-45DA-B4B1-800D6F46173D}" type="sibTrans" cxnId="{DE7F1B94-E381-4722-9CF1-AD9DBCA2F533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143AB78E-568C-4CE6-8F58-1DD2C36AF0C3}">
      <dgm:prSet phldrT="[Texto]" custT="1"/>
      <dgm:spPr>
        <a:solidFill>
          <a:srgbClr val="4BACC6">
            <a:lumMod val="75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5715" tIns="5715" rIns="5715" bIns="5715" numCol="1" spcCol="1270" anchor="ctr" anchorCtr="0"/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Discapacidad</a:t>
          </a:r>
        </a:p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b="1" kern="1200" dirty="0">
            <a:solidFill>
              <a:sysClr val="windowText" lastClr="000000"/>
            </a:solidFill>
            <a:latin typeface="Poppins" panose="00000500000000000000" pitchFamily="2" charset="0"/>
            <a:ea typeface="+mn-ea"/>
            <a:cs typeface="Poppins" panose="00000500000000000000" pitchFamily="2" charset="0"/>
          </a:endParaRP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6726E133-F614-4587-A191-9FCE92C21F1C}" type="parTrans" cxnId="{22831EDF-FEBC-4E7D-8347-88BD4ED09A02}">
      <dgm:prSet custT="1"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BACE2BE9-245A-4C5E-9AD3-D8E14F4943CE}" type="sibTrans" cxnId="{22831EDF-FEBC-4E7D-8347-88BD4ED09A02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B7B80674-1C5C-4C44-951D-4D3415D2F940}">
      <dgm:prSet phldrT="[Texto]" custT="1"/>
      <dgm:spPr/>
      <dgm:t>
        <a:bodyPr/>
        <a:lstStyle/>
        <a:p>
          <a:endParaRPr lang="es-CO" sz="900" dirty="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4078AA32-9234-4F7B-A3C0-44CC536C4F6F}" type="parTrans" cxnId="{55029DA0-2207-45BF-9566-14767832089C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8F646FBA-D2BB-4B43-8BB8-4810298F5C12}" type="sibTrans" cxnId="{55029DA0-2207-45BF-9566-14767832089C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18581CE6-EB0D-4FF9-9073-2C4F6F4F03B4}">
      <dgm:prSet phldrT="[Texto]" custT="1"/>
      <dgm:spPr>
        <a:solidFill>
          <a:srgbClr val="143778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" lastClr="FFFFFF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Ganancia ≥15 letras en BCVA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7A8CA24C-8421-49C0-A4FC-01B07B9B779C}" type="parTrans" cxnId="{5C86C185-8DD5-428C-8EBA-05D81DD9CF31}">
      <dgm:prSet custT="1"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88BB2147-F52D-48ED-8903-47E86476C06E}" type="sibTrans" cxnId="{5C86C185-8DD5-428C-8EBA-05D81DD9CF31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EC5137BA-81D8-45D3-B55E-C07B2EC46F0B}">
      <dgm:prSet custT="1"/>
      <dgm:spPr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8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Estado de aprobación regulatoria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8136EA11-2931-4546-913A-C5F5ABC699E1}" type="parTrans" cxnId="{0ADEA610-AD57-4D8C-B39F-8ED2E0F3599E}">
      <dgm:prSet custT="1"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3ADF3175-4CE7-4E4C-84D0-9AAD876D7EC6}" type="sibTrans" cxnId="{0ADEA610-AD57-4D8C-B39F-8ED2E0F3599E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80F9BAF0-3B48-4EC0-B25D-5756D8CA7C70}">
      <dgm:prSet custT="1"/>
      <dgm:spPr>
        <a:solidFill>
          <a:srgbClr val="1F497D">
            <a:lumMod val="60000"/>
            <a:lumOff val="4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8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Inclusión en guías de práctica clínica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EF95AFAA-BC11-449A-9490-78C524D33F48}" type="parTrans" cxnId="{BEC3B423-01D4-4B1F-A6C6-741BCD4B8452}">
      <dgm:prSet custT="1"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400107A3-5833-4496-9F0E-F04852D0B5C0}" type="sibTrans" cxnId="{BEC3B423-01D4-4B1F-A6C6-741BCD4B8452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4D3F11B3-1E82-4CEB-AF00-6C7703FC42CF}" type="pres">
      <dgm:prSet presAssocID="{113A2C7B-4FE8-4DC4-9AA5-45D4993DD66B}" presName="cycle" presStyleCnt="0">
        <dgm:presLayoutVars>
          <dgm:chMax val="1"/>
          <dgm:dir/>
          <dgm:animLvl val="ctr"/>
          <dgm:resizeHandles val="exact"/>
        </dgm:presLayoutVars>
      </dgm:prSet>
      <dgm:spPr/>
    </dgm:pt>
    <dgm:pt modelId="{DAA6C56E-F98B-4A50-BD52-A8DB6E487BBA}" type="pres">
      <dgm:prSet presAssocID="{13E95CCA-177B-4FBE-A3DB-A6965707891A}" presName="centerShape" presStyleLbl="node0" presStyleIdx="0" presStyleCnt="1" custScaleX="59492" custScaleY="55484"/>
      <dgm:spPr/>
    </dgm:pt>
    <dgm:pt modelId="{E05EE0D6-A493-4691-A492-AA96A8B0E52E}" type="pres">
      <dgm:prSet presAssocID="{55C50252-36F7-4B30-AE34-B5D894DEDBA5}" presName="Name9" presStyleLbl="parChTrans1D2" presStyleIdx="0" presStyleCnt="10"/>
      <dgm:spPr/>
    </dgm:pt>
    <dgm:pt modelId="{FE5ABB9B-806D-4DE8-86E3-602D6A53492D}" type="pres">
      <dgm:prSet presAssocID="{55C50252-36F7-4B30-AE34-B5D894DEDBA5}" presName="connTx" presStyleLbl="parChTrans1D2" presStyleIdx="0" presStyleCnt="10"/>
      <dgm:spPr/>
    </dgm:pt>
    <dgm:pt modelId="{999C2C04-5DD1-4F83-866D-7D7CCD1410B5}" type="pres">
      <dgm:prSet presAssocID="{6443374D-ABEA-48F4-AD8D-80947E0B0A46}" presName="node" presStyleLbl="node1" presStyleIdx="0" presStyleCnt="10">
        <dgm:presLayoutVars>
          <dgm:bulletEnabled val="1"/>
        </dgm:presLayoutVars>
      </dgm:prSet>
      <dgm:spPr>
        <a:xfrm>
          <a:off x="4174842" y="6222"/>
          <a:ext cx="969336" cy="969336"/>
        </a:xfrm>
        <a:prstGeom prst="ellipse">
          <a:avLst/>
        </a:prstGeom>
      </dgm:spPr>
    </dgm:pt>
    <dgm:pt modelId="{09C9F539-94AA-4BD5-B82E-C3E7EFFA9D02}" type="pres">
      <dgm:prSet presAssocID="{7A8CA24C-8421-49C0-A4FC-01B07B9B779C}" presName="Name9" presStyleLbl="parChTrans1D2" presStyleIdx="1" presStyleCnt="10"/>
      <dgm:spPr/>
    </dgm:pt>
    <dgm:pt modelId="{5CA9DCB9-F34C-494D-A250-54B492666A3C}" type="pres">
      <dgm:prSet presAssocID="{7A8CA24C-8421-49C0-A4FC-01B07B9B779C}" presName="connTx" presStyleLbl="parChTrans1D2" presStyleIdx="1" presStyleCnt="10"/>
      <dgm:spPr/>
    </dgm:pt>
    <dgm:pt modelId="{44BA647C-92C2-4F36-80B7-80A5A17F3B42}" type="pres">
      <dgm:prSet presAssocID="{18581CE6-EB0D-4FF9-9073-2C4F6F4F03B4}" presName="node" presStyleLbl="node1" presStyleIdx="1" presStyleCnt="10">
        <dgm:presLayoutVars>
          <dgm:bulletEnabled val="1"/>
        </dgm:presLayoutVars>
      </dgm:prSet>
      <dgm:spPr>
        <a:xfrm>
          <a:off x="5373306" y="395626"/>
          <a:ext cx="969336" cy="969336"/>
        </a:xfrm>
        <a:prstGeom prst="ellipse">
          <a:avLst/>
        </a:prstGeom>
      </dgm:spPr>
    </dgm:pt>
    <dgm:pt modelId="{A97911A0-627F-4E09-A7A0-64B12264F819}" type="pres">
      <dgm:prSet presAssocID="{84D28295-F7D0-4029-8588-B33D08B3C156}" presName="Name9" presStyleLbl="parChTrans1D2" presStyleIdx="2" presStyleCnt="10"/>
      <dgm:spPr/>
    </dgm:pt>
    <dgm:pt modelId="{5B387054-3FC3-4BE0-A9ED-134AEC35D720}" type="pres">
      <dgm:prSet presAssocID="{84D28295-F7D0-4029-8588-B33D08B3C156}" presName="connTx" presStyleLbl="parChTrans1D2" presStyleIdx="2" presStyleCnt="10"/>
      <dgm:spPr/>
    </dgm:pt>
    <dgm:pt modelId="{3A1A464F-EA8F-4750-8422-FDC62C8B81D7}" type="pres">
      <dgm:prSet presAssocID="{888615A7-5A8E-4ED6-8C99-09A5710B1F21}" presName="node" presStyleLbl="node1" presStyleIdx="2" presStyleCnt="10" custScaleX="104766" custScaleY="106394" custRadScaleRad="99037" custRadScaleInc="-1128">
        <dgm:presLayoutVars>
          <dgm:bulletEnabled val="1"/>
        </dgm:presLayoutVars>
      </dgm:prSet>
      <dgm:spPr>
        <a:xfrm>
          <a:off x="6070001" y="1383377"/>
          <a:ext cx="1015534" cy="1031315"/>
        </a:xfrm>
        <a:prstGeom prst="ellipse">
          <a:avLst/>
        </a:prstGeom>
      </dgm:spPr>
    </dgm:pt>
    <dgm:pt modelId="{88EF1F46-860B-4F71-80F0-E48521E65869}" type="pres">
      <dgm:prSet presAssocID="{4F174036-2877-43DE-816C-735F269B9E21}" presName="Name9" presStyleLbl="parChTrans1D2" presStyleIdx="3" presStyleCnt="10"/>
      <dgm:spPr/>
    </dgm:pt>
    <dgm:pt modelId="{4A0293AA-F01D-4E7D-9202-137A9975D69A}" type="pres">
      <dgm:prSet presAssocID="{4F174036-2877-43DE-816C-735F269B9E21}" presName="connTx" presStyleLbl="parChTrans1D2" presStyleIdx="3" presStyleCnt="10"/>
      <dgm:spPr/>
    </dgm:pt>
    <dgm:pt modelId="{1D0F4F1B-27DA-407B-9EB5-382A4515191D}" type="pres">
      <dgm:prSet presAssocID="{189365EA-D99F-4681-99DF-987420B4E522}" presName="node" presStyleLbl="node1" presStyleIdx="3" presStyleCnt="10">
        <dgm:presLayoutVars>
          <dgm:bulletEnabled val="1"/>
        </dgm:presLayoutVars>
      </dgm:prSet>
      <dgm:spPr>
        <a:xfrm>
          <a:off x="6113998" y="2675242"/>
          <a:ext cx="969336" cy="969336"/>
        </a:xfrm>
        <a:prstGeom prst="ellipse">
          <a:avLst/>
        </a:prstGeom>
      </dgm:spPr>
    </dgm:pt>
    <dgm:pt modelId="{49CF188C-9BE1-4A83-8EEA-F1EDC820D77C}" type="pres">
      <dgm:prSet presAssocID="{3E8BFED0-AAA0-4084-81E2-916272689B80}" presName="Name9" presStyleLbl="parChTrans1D2" presStyleIdx="4" presStyleCnt="10"/>
      <dgm:spPr/>
    </dgm:pt>
    <dgm:pt modelId="{3724CCF5-6899-412E-905E-23BE59E0C01B}" type="pres">
      <dgm:prSet presAssocID="{3E8BFED0-AAA0-4084-81E2-916272689B80}" presName="connTx" presStyleLbl="parChTrans1D2" presStyleIdx="4" presStyleCnt="10"/>
      <dgm:spPr/>
    </dgm:pt>
    <dgm:pt modelId="{5121748A-C064-4F07-B29A-BC1E378A385F}" type="pres">
      <dgm:prSet presAssocID="{789DA829-F7B3-486A-8DEE-6D455D944DCE}" presName="node" presStyleLbl="node1" presStyleIdx="4" presStyleCnt="10">
        <dgm:presLayoutVars>
          <dgm:bulletEnabled val="1"/>
        </dgm:presLayoutVars>
      </dgm:prSet>
      <dgm:spPr>
        <a:xfrm>
          <a:off x="5373306" y="3694716"/>
          <a:ext cx="969336" cy="969336"/>
        </a:xfrm>
        <a:prstGeom prst="ellipse">
          <a:avLst/>
        </a:prstGeom>
      </dgm:spPr>
    </dgm:pt>
    <dgm:pt modelId="{63A62071-96F8-4F95-A539-2A9280331C59}" type="pres">
      <dgm:prSet presAssocID="{EA0B72A7-4248-4606-BEDA-B4A2174DBD62}" presName="Name9" presStyleLbl="parChTrans1D2" presStyleIdx="5" presStyleCnt="10"/>
      <dgm:spPr/>
    </dgm:pt>
    <dgm:pt modelId="{7269A8ED-47BB-4D9C-A364-96B972E4CC38}" type="pres">
      <dgm:prSet presAssocID="{EA0B72A7-4248-4606-BEDA-B4A2174DBD62}" presName="connTx" presStyleLbl="parChTrans1D2" presStyleIdx="5" presStyleCnt="10"/>
      <dgm:spPr/>
    </dgm:pt>
    <dgm:pt modelId="{2152CD24-9E02-4B5D-B717-786168059891}" type="pres">
      <dgm:prSet presAssocID="{990F8C8D-67EE-4CA9-893D-707AFCB30DB0}" presName="node" presStyleLbl="node1" presStyleIdx="5" presStyleCnt="10" custRadScaleRad="100939" custRadScaleInc="2358">
        <dgm:presLayoutVars>
          <dgm:bulletEnabled val="1"/>
        </dgm:presLayoutVars>
      </dgm:prSet>
      <dgm:spPr>
        <a:xfrm>
          <a:off x="4159596" y="4090343"/>
          <a:ext cx="969336" cy="969336"/>
        </a:xfrm>
        <a:prstGeom prst="ellipse">
          <a:avLst/>
        </a:prstGeom>
      </dgm:spPr>
    </dgm:pt>
    <dgm:pt modelId="{95071ACE-EE65-427E-B192-8848668B3C54}" type="pres">
      <dgm:prSet presAssocID="{BA71876F-A685-44D6-B0F8-F8E34E2823E8}" presName="Name9" presStyleLbl="parChTrans1D2" presStyleIdx="6" presStyleCnt="10"/>
      <dgm:spPr/>
    </dgm:pt>
    <dgm:pt modelId="{38B8543D-D17F-4615-8B96-6160504D83A1}" type="pres">
      <dgm:prSet presAssocID="{BA71876F-A685-44D6-B0F8-F8E34E2823E8}" presName="connTx" presStyleLbl="parChTrans1D2" presStyleIdx="6" presStyleCnt="10"/>
      <dgm:spPr/>
    </dgm:pt>
    <dgm:pt modelId="{FFC70FED-FD9C-45A7-8173-C26759F0C0C6}" type="pres">
      <dgm:prSet presAssocID="{C0959E24-B0C6-4921-AF82-026AD8573F4C}" presName="node" presStyleLbl="node1" presStyleIdx="6" presStyleCnt="10">
        <dgm:presLayoutVars>
          <dgm:bulletEnabled val="1"/>
        </dgm:presLayoutVars>
      </dgm:prSet>
      <dgm:spPr>
        <a:xfrm>
          <a:off x="2976377" y="3694716"/>
          <a:ext cx="969336" cy="969336"/>
        </a:xfrm>
        <a:prstGeom prst="ellipse">
          <a:avLst/>
        </a:prstGeom>
      </dgm:spPr>
    </dgm:pt>
    <dgm:pt modelId="{C87936ED-FAEF-4020-BE22-7B6CCB8E1B16}" type="pres">
      <dgm:prSet presAssocID="{6726E133-F614-4587-A191-9FCE92C21F1C}" presName="Name9" presStyleLbl="parChTrans1D2" presStyleIdx="7" presStyleCnt="10"/>
      <dgm:spPr/>
    </dgm:pt>
    <dgm:pt modelId="{9C61E384-21B4-4471-BAD3-975ED27BC047}" type="pres">
      <dgm:prSet presAssocID="{6726E133-F614-4587-A191-9FCE92C21F1C}" presName="connTx" presStyleLbl="parChTrans1D2" presStyleIdx="7" presStyleCnt="10"/>
      <dgm:spPr/>
    </dgm:pt>
    <dgm:pt modelId="{1B7DCB21-28B2-4873-9784-29F4DED739B2}" type="pres">
      <dgm:prSet presAssocID="{143AB78E-568C-4CE6-8F58-1DD2C36AF0C3}" presName="node" presStyleLbl="node1" presStyleIdx="7" presStyleCnt="10">
        <dgm:presLayoutVars>
          <dgm:bulletEnabled val="1"/>
        </dgm:presLayoutVars>
      </dgm:prSet>
      <dgm:spPr>
        <a:xfrm>
          <a:off x="2235685" y="2675242"/>
          <a:ext cx="969336" cy="969336"/>
        </a:xfrm>
        <a:prstGeom prst="ellipse">
          <a:avLst/>
        </a:prstGeom>
      </dgm:spPr>
    </dgm:pt>
    <dgm:pt modelId="{DEF68B88-B9BB-48E8-A8DB-C71B9BA03585}" type="pres">
      <dgm:prSet presAssocID="{8136EA11-2931-4546-913A-C5F5ABC699E1}" presName="Name9" presStyleLbl="parChTrans1D2" presStyleIdx="8" presStyleCnt="10"/>
      <dgm:spPr/>
    </dgm:pt>
    <dgm:pt modelId="{221E25A6-03AE-4DE1-B212-BBE9583B8C9E}" type="pres">
      <dgm:prSet presAssocID="{8136EA11-2931-4546-913A-C5F5ABC699E1}" presName="connTx" presStyleLbl="parChTrans1D2" presStyleIdx="8" presStyleCnt="10"/>
      <dgm:spPr/>
    </dgm:pt>
    <dgm:pt modelId="{4308602A-F09F-4BBC-8967-B1757111AB00}" type="pres">
      <dgm:prSet presAssocID="{EC5137BA-81D8-45D3-B55E-C07B2EC46F0B}" presName="node" presStyleLbl="node1" presStyleIdx="8" presStyleCnt="10">
        <dgm:presLayoutVars>
          <dgm:bulletEnabled val="1"/>
        </dgm:presLayoutVars>
      </dgm:prSet>
      <dgm:spPr>
        <a:xfrm>
          <a:off x="2235685" y="1415101"/>
          <a:ext cx="969336" cy="969336"/>
        </a:xfrm>
        <a:prstGeom prst="ellipse">
          <a:avLst/>
        </a:prstGeom>
      </dgm:spPr>
    </dgm:pt>
    <dgm:pt modelId="{A4EFBDEA-7DE3-4515-81AE-9133DCD43C8A}" type="pres">
      <dgm:prSet presAssocID="{EF95AFAA-BC11-449A-9490-78C524D33F48}" presName="Name9" presStyleLbl="parChTrans1D2" presStyleIdx="9" presStyleCnt="10"/>
      <dgm:spPr/>
    </dgm:pt>
    <dgm:pt modelId="{E00B1961-59DF-4A02-B97D-F354E6979EDF}" type="pres">
      <dgm:prSet presAssocID="{EF95AFAA-BC11-449A-9490-78C524D33F48}" presName="connTx" presStyleLbl="parChTrans1D2" presStyleIdx="9" presStyleCnt="10"/>
      <dgm:spPr/>
    </dgm:pt>
    <dgm:pt modelId="{80C33C16-4C3B-4277-8043-B8CD637ACA5E}" type="pres">
      <dgm:prSet presAssocID="{80F9BAF0-3B48-4EC0-B25D-5756D8CA7C70}" presName="node" presStyleLbl="node1" presStyleIdx="9" presStyleCnt="10">
        <dgm:presLayoutVars>
          <dgm:bulletEnabled val="1"/>
        </dgm:presLayoutVars>
      </dgm:prSet>
      <dgm:spPr>
        <a:xfrm>
          <a:off x="2976377" y="395626"/>
          <a:ext cx="969336" cy="969336"/>
        </a:xfrm>
        <a:prstGeom prst="ellipse">
          <a:avLst/>
        </a:prstGeom>
      </dgm:spPr>
    </dgm:pt>
  </dgm:ptLst>
  <dgm:cxnLst>
    <dgm:cxn modelId="{BC72030E-4F87-4893-BDBD-4EC074DD057E}" type="presOf" srcId="{EF95AFAA-BC11-449A-9490-78C524D33F48}" destId="{E00B1961-59DF-4A02-B97D-F354E6979EDF}" srcOrd="1" destOrd="0" presId="urn:microsoft.com/office/officeart/2005/8/layout/radial1"/>
    <dgm:cxn modelId="{7D980F0F-CEC2-43FD-97B7-9B7884DD57EA}" type="presOf" srcId="{55C50252-36F7-4B30-AE34-B5D894DEDBA5}" destId="{FE5ABB9B-806D-4DE8-86E3-602D6A53492D}" srcOrd="1" destOrd="0" presId="urn:microsoft.com/office/officeart/2005/8/layout/radial1"/>
    <dgm:cxn modelId="{0ADEA610-AD57-4D8C-B39F-8ED2E0F3599E}" srcId="{13E95CCA-177B-4FBE-A3DB-A6965707891A}" destId="{EC5137BA-81D8-45D3-B55E-C07B2EC46F0B}" srcOrd="8" destOrd="0" parTransId="{8136EA11-2931-4546-913A-C5F5ABC699E1}" sibTransId="{3ADF3175-4CE7-4E4C-84D0-9AAD876D7EC6}"/>
    <dgm:cxn modelId="{39A0CA10-F196-437F-BBC3-092676DAD753}" type="presOf" srcId="{84D28295-F7D0-4029-8588-B33D08B3C156}" destId="{5B387054-3FC3-4BE0-A9ED-134AEC35D720}" srcOrd="1" destOrd="0" presId="urn:microsoft.com/office/officeart/2005/8/layout/radial1"/>
    <dgm:cxn modelId="{5B116014-01D7-4C29-BE09-DF42FEAE110C}" type="presOf" srcId="{990F8C8D-67EE-4CA9-893D-707AFCB30DB0}" destId="{2152CD24-9E02-4B5D-B717-786168059891}" srcOrd="0" destOrd="0" presId="urn:microsoft.com/office/officeart/2005/8/layout/radial1"/>
    <dgm:cxn modelId="{655C7E14-35B5-48B2-8480-661000DD4F3D}" type="presOf" srcId="{55C50252-36F7-4B30-AE34-B5D894DEDBA5}" destId="{E05EE0D6-A493-4691-A492-AA96A8B0E52E}" srcOrd="0" destOrd="0" presId="urn:microsoft.com/office/officeart/2005/8/layout/radial1"/>
    <dgm:cxn modelId="{41E5F914-4A48-4A5F-96FC-05240CD277A9}" type="presOf" srcId="{4F174036-2877-43DE-816C-735F269B9E21}" destId="{4A0293AA-F01D-4E7D-9202-137A9975D69A}" srcOrd="1" destOrd="0" presId="urn:microsoft.com/office/officeart/2005/8/layout/radial1"/>
    <dgm:cxn modelId="{36FB751E-C643-4F9E-943F-65BE371D3D53}" srcId="{13E95CCA-177B-4FBE-A3DB-A6965707891A}" destId="{888615A7-5A8E-4ED6-8C99-09A5710B1F21}" srcOrd="2" destOrd="0" parTransId="{84D28295-F7D0-4029-8588-B33D08B3C156}" sibTransId="{CB2CB155-DEC4-46D8-B617-D6B1846A2033}"/>
    <dgm:cxn modelId="{BEC3B423-01D4-4B1F-A6C6-741BCD4B8452}" srcId="{13E95CCA-177B-4FBE-A3DB-A6965707891A}" destId="{80F9BAF0-3B48-4EC0-B25D-5756D8CA7C70}" srcOrd="9" destOrd="0" parTransId="{EF95AFAA-BC11-449A-9490-78C524D33F48}" sibTransId="{400107A3-5833-4496-9F0E-F04852D0B5C0}"/>
    <dgm:cxn modelId="{005BDB30-C3AD-4212-A422-C6FCCBCBDA45}" type="presOf" srcId="{6726E133-F614-4587-A191-9FCE92C21F1C}" destId="{9C61E384-21B4-4471-BAD3-975ED27BC047}" srcOrd="1" destOrd="0" presId="urn:microsoft.com/office/officeart/2005/8/layout/radial1"/>
    <dgm:cxn modelId="{79B65438-D1C3-4620-B06C-6292EFE95D79}" type="presOf" srcId="{BA71876F-A685-44D6-B0F8-F8E34E2823E8}" destId="{38B8543D-D17F-4615-8B96-6160504D83A1}" srcOrd="1" destOrd="0" presId="urn:microsoft.com/office/officeart/2005/8/layout/radial1"/>
    <dgm:cxn modelId="{69B2D13B-4478-459F-A0B6-6A1CF3291A46}" srcId="{13E95CCA-177B-4FBE-A3DB-A6965707891A}" destId="{189365EA-D99F-4681-99DF-987420B4E522}" srcOrd="3" destOrd="0" parTransId="{4F174036-2877-43DE-816C-735F269B9E21}" sibTransId="{0517C887-C34A-4E87-8A2B-E20F718AB229}"/>
    <dgm:cxn modelId="{E9364B66-5D3E-4022-ADBF-E87C1AB06A6A}" type="presOf" srcId="{8136EA11-2931-4546-913A-C5F5ABC699E1}" destId="{DEF68B88-B9BB-48E8-A8DB-C71B9BA03585}" srcOrd="0" destOrd="0" presId="urn:microsoft.com/office/officeart/2005/8/layout/radial1"/>
    <dgm:cxn modelId="{3C57324B-6C46-4700-BBEA-9018A95D8174}" type="presOf" srcId="{7A8CA24C-8421-49C0-A4FC-01B07B9B779C}" destId="{5CA9DCB9-F34C-494D-A250-54B492666A3C}" srcOrd="1" destOrd="0" presId="urn:microsoft.com/office/officeart/2005/8/layout/radial1"/>
    <dgm:cxn modelId="{D7E9484C-2AF3-46D1-8F0F-269D1DB8DDC5}" srcId="{13E95CCA-177B-4FBE-A3DB-A6965707891A}" destId="{6443374D-ABEA-48F4-AD8D-80947E0B0A46}" srcOrd="0" destOrd="0" parTransId="{55C50252-36F7-4B30-AE34-B5D894DEDBA5}" sibTransId="{A8D5B15C-49A8-4564-A445-98EAE4BF15F4}"/>
    <dgm:cxn modelId="{C3171A4E-C4ED-4AF0-B425-A28657A312DC}" type="presOf" srcId="{18581CE6-EB0D-4FF9-9073-2C4F6F4F03B4}" destId="{44BA647C-92C2-4F36-80B7-80A5A17F3B42}" srcOrd="0" destOrd="0" presId="urn:microsoft.com/office/officeart/2005/8/layout/radial1"/>
    <dgm:cxn modelId="{7CE91C4E-4AF4-4A95-B34B-8D42B88B38CC}" type="presOf" srcId="{4F174036-2877-43DE-816C-735F269B9E21}" destId="{88EF1F46-860B-4F71-80F0-E48521E65869}" srcOrd="0" destOrd="0" presId="urn:microsoft.com/office/officeart/2005/8/layout/radial1"/>
    <dgm:cxn modelId="{D27F196F-9E03-475F-A7FE-4E1E443317BC}" type="presOf" srcId="{6726E133-F614-4587-A191-9FCE92C21F1C}" destId="{C87936ED-FAEF-4020-BE22-7B6CCB8E1B16}" srcOrd="0" destOrd="0" presId="urn:microsoft.com/office/officeart/2005/8/layout/radial1"/>
    <dgm:cxn modelId="{E2918455-2CD4-406F-BFE9-C23E9F00EA62}" type="presOf" srcId="{C0959E24-B0C6-4921-AF82-026AD8573F4C}" destId="{FFC70FED-FD9C-45A7-8173-C26759F0C0C6}" srcOrd="0" destOrd="0" presId="urn:microsoft.com/office/officeart/2005/8/layout/radial1"/>
    <dgm:cxn modelId="{6D3F8B78-DC4E-48A3-979F-A33FCC3874E0}" srcId="{13E95CCA-177B-4FBE-A3DB-A6965707891A}" destId="{990F8C8D-67EE-4CA9-893D-707AFCB30DB0}" srcOrd="5" destOrd="0" parTransId="{EA0B72A7-4248-4606-BEDA-B4A2174DBD62}" sibTransId="{378A1C52-DF3F-4770-B145-15EA19BD8A3F}"/>
    <dgm:cxn modelId="{703CB182-9A24-4390-9B9A-A35181F532F2}" type="presOf" srcId="{EF95AFAA-BC11-449A-9490-78C524D33F48}" destId="{A4EFBDEA-7DE3-4515-81AE-9133DCD43C8A}" srcOrd="0" destOrd="0" presId="urn:microsoft.com/office/officeart/2005/8/layout/radial1"/>
    <dgm:cxn modelId="{5C86C185-8DD5-428C-8EBA-05D81DD9CF31}" srcId="{13E95CCA-177B-4FBE-A3DB-A6965707891A}" destId="{18581CE6-EB0D-4FF9-9073-2C4F6F4F03B4}" srcOrd="1" destOrd="0" parTransId="{7A8CA24C-8421-49C0-A4FC-01B07B9B779C}" sibTransId="{88BB2147-F52D-48ED-8903-47E86476C06E}"/>
    <dgm:cxn modelId="{F0F4A492-62BF-44CA-BA99-ABAF075FC724}" type="presOf" srcId="{6443374D-ABEA-48F4-AD8D-80947E0B0A46}" destId="{999C2C04-5DD1-4F83-866D-7D7CCD1410B5}" srcOrd="0" destOrd="0" presId="urn:microsoft.com/office/officeart/2005/8/layout/radial1"/>
    <dgm:cxn modelId="{DE7F1B94-E381-4722-9CF1-AD9DBCA2F533}" srcId="{13E95CCA-177B-4FBE-A3DB-A6965707891A}" destId="{C0959E24-B0C6-4921-AF82-026AD8573F4C}" srcOrd="6" destOrd="0" parTransId="{BA71876F-A685-44D6-B0F8-F8E34E2823E8}" sibTransId="{E856C8F8-6E38-45DA-B4B1-800D6F46173D}"/>
    <dgm:cxn modelId="{FA95DE9C-AA3C-422B-9D95-67DA3937BC81}" srcId="{13E95CCA-177B-4FBE-A3DB-A6965707891A}" destId="{789DA829-F7B3-486A-8DEE-6D455D944DCE}" srcOrd="4" destOrd="0" parTransId="{3E8BFED0-AAA0-4084-81E2-916272689B80}" sibTransId="{B9121F74-1803-4761-8696-927BC8BA7D0F}"/>
    <dgm:cxn modelId="{55029DA0-2207-45BF-9566-14767832089C}" srcId="{113A2C7B-4FE8-4DC4-9AA5-45D4993DD66B}" destId="{B7B80674-1C5C-4C44-951D-4D3415D2F940}" srcOrd="1" destOrd="0" parTransId="{4078AA32-9234-4F7B-A3C0-44CC536C4F6F}" sibTransId="{8F646FBA-D2BB-4B43-8BB8-4810298F5C12}"/>
    <dgm:cxn modelId="{8221DDAA-8F5C-4F24-A978-238B178D31DA}" type="presOf" srcId="{143AB78E-568C-4CE6-8F58-1DD2C36AF0C3}" destId="{1B7DCB21-28B2-4873-9784-29F4DED739B2}" srcOrd="0" destOrd="0" presId="urn:microsoft.com/office/officeart/2005/8/layout/radial1"/>
    <dgm:cxn modelId="{69F28FB1-8330-44DE-8B6B-A7797338D4DE}" type="presOf" srcId="{3E8BFED0-AAA0-4084-81E2-916272689B80}" destId="{3724CCF5-6899-412E-905E-23BE59E0C01B}" srcOrd="1" destOrd="0" presId="urn:microsoft.com/office/officeart/2005/8/layout/radial1"/>
    <dgm:cxn modelId="{4F54B5B4-0D6A-454A-ACAD-B97AB07E7B97}" type="presOf" srcId="{80F9BAF0-3B48-4EC0-B25D-5756D8CA7C70}" destId="{80C33C16-4C3B-4277-8043-B8CD637ACA5E}" srcOrd="0" destOrd="0" presId="urn:microsoft.com/office/officeart/2005/8/layout/radial1"/>
    <dgm:cxn modelId="{7CD4E9B4-4B5A-4BA9-8E12-9A269F43F260}" type="presOf" srcId="{13E95CCA-177B-4FBE-A3DB-A6965707891A}" destId="{DAA6C56E-F98B-4A50-BD52-A8DB6E487BBA}" srcOrd="0" destOrd="0" presId="urn:microsoft.com/office/officeart/2005/8/layout/radial1"/>
    <dgm:cxn modelId="{9486EEB8-80B0-479C-AA03-711C7124D9E2}" type="presOf" srcId="{84D28295-F7D0-4029-8588-B33D08B3C156}" destId="{A97911A0-627F-4E09-A7A0-64B12264F819}" srcOrd="0" destOrd="0" presId="urn:microsoft.com/office/officeart/2005/8/layout/radial1"/>
    <dgm:cxn modelId="{F591E0BC-C4C2-44F5-A737-83F4A776A8D1}" type="presOf" srcId="{3E8BFED0-AAA0-4084-81E2-916272689B80}" destId="{49CF188C-9BE1-4A83-8EEA-F1EDC820D77C}" srcOrd="0" destOrd="0" presId="urn:microsoft.com/office/officeart/2005/8/layout/radial1"/>
    <dgm:cxn modelId="{E02BFDBC-E938-42F9-BA56-D4E64A176DA6}" type="presOf" srcId="{113A2C7B-4FE8-4DC4-9AA5-45D4993DD66B}" destId="{4D3F11B3-1E82-4CEB-AF00-6C7703FC42CF}" srcOrd="0" destOrd="0" presId="urn:microsoft.com/office/officeart/2005/8/layout/radial1"/>
    <dgm:cxn modelId="{583D62BE-864E-4DAF-97AB-0050E67B3531}" srcId="{113A2C7B-4FE8-4DC4-9AA5-45D4993DD66B}" destId="{13E95CCA-177B-4FBE-A3DB-A6965707891A}" srcOrd="0" destOrd="0" parTransId="{254A917C-7F73-4B19-B2AD-85BE89B2C770}" sibTransId="{02B830B3-3D88-4B30-87C6-969368206C99}"/>
    <dgm:cxn modelId="{5F154FC0-83CB-474F-AF7E-F57AD1259657}" type="presOf" srcId="{8136EA11-2931-4546-913A-C5F5ABC699E1}" destId="{221E25A6-03AE-4DE1-B212-BBE9583B8C9E}" srcOrd="1" destOrd="0" presId="urn:microsoft.com/office/officeart/2005/8/layout/radial1"/>
    <dgm:cxn modelId="{B38BDCC4-F3ED-448B-8201-B3B60B98AC35}" type="presOf" srcId="{BA71876F-A685-44D6-B0F8-F8E34E2823E8}" destId="{95071ACE-EE65-427E-B192-8848668B3C54}" srcOrd="0" destOrd="0" presId="urn:microsoft.com/office/officeart/2005/8/layout/radial1"/>
    <dgm:cxn modelId="{384005C8-12F6-49AD-817A-9397F8D1FADB}" type="presOf" srcId="{EA0B72A7-4248-4606-BEDA-B4A2174DBD62}" destId="{63A62071-96F8-4F95-A539-2A9280331C59}" srcOrd="0" destOrd="0" presId="urn:microsoft.com/office/officeart/2005/8/layout/radial1"/>
    <dgm:cxn modelId="{A9A48FCF-EBC0-4EA2-AA77-90D95D7F1ED5}" type="presOf" srcId="{189365EA-D99F-4681-99DF-987420B4E522}" destId="{1D0F4F1B-27DA-407B-9EB5-382A4515191D}" srcOrd="0" destOrd="0" presId="urn:microsoft.com/office/officeart/2005/8/layout/radial1"/>
    <dgm:cxn modelId="{37F27DD1-A485-4F69-9486-D7290255558F}" type="presOf" srcId="{EC5137BA-81D8-45D3-B55E-C07B2EC46F0B}" destId="{4308602A-F09F-4BBC-8967-B1757111AB00}" srcOrd="0" destOrd="0" presId="urn:microsoft.com/office/officeart/2005/8/layout/radial1"/>
    <dgm:cxn modelId="{B65AD2D1-71EE-4835-B5A6-527E0EBB2324}" type="presOf" srcId="{EA0B72A7-4248-4606-BEDA-B4A2174DBD62}" destId="{7269A8ED-47BB-4D9C-A364-96B972E4CC38}" srcOrd="1" destOrd="0" presId="urn:microsoft.com/office/officeart/2005/8/layout/radial1"/>
    <dgm:cxn modelId="{8D6660D4-73B8-4BE2-BE0C-A998EEB47C7E}" type="presOf" srcId="{7A8CA24C-8421-49C0-A4FC-01B07B9B779C}" destId="{09C9F539-94AA-4BD5-B82E-C3E7EFFA9D02}" srcOrd="0" destOrd="0" presId="urn:microsoft.com/office/officeart/2005/8/layout/radial1"/>
    <dgm:cxn modelId="{22831EDF-FEBC-4E7D-8347-88BD4ED09A02}" srcId="{13E95CCA-177B-4FBE-A3DB-A6965707891A}" destId="{143AB78E-568C-4CE6-8F58-1DD2C36AF0C3}" srcOrd="7" destOrd="0" parTransId="{6726E133-F614-4587-A191-9FCE92C21F1C}" sibTransId="{BACE2BE9-245A-4C5E-9AD3-D8E14F4943CE}"/>
    <dgm:cxn modelId="{46321BE7-B245-417C-8C63-4E890B996B9B}" type="presOf" srcId="{888615A7-5A8E-4ED6-8C99-09A5710B1F21}" destId="{3A1A464F-EA8F-4750-8422-FDC62C8B81D7}" srcOrd="0" destOrd="0" presId="urn:microsoft.com/office/officeart/2005/8/layout/radial1"/>
    <dgm:cxn modelId="{17DD51EA-CA8B-44BA-82BE-0CDF1543D988}" type="presOf" srcId="{789DA829-F7B3-486A-8DEE-6D455D944DCE}" destId="{5121748A-C064-4F07-B29A-BC1E378A385F}" srcOrd="0" destOrd="0" presId="urn:microsoft.com/office/officeart/2005/8/layout/radial1"/>
    <dgm:cxn modelId="{2C809D10-B828-4F76-AEA4-8C9C5CCF97F0}" type="presParOf" srcId="{4D3F11B3-1E82-4CEB-AF00-6C7703FC42CF}" destId="{DAA6C56E-F98B-4A50-BD52-A8DB6E487BBA}" srcOrd="0" destOrd="0" presId="urn:microsoft.com/office/officeart/2005/8/layout/radial1"/>
    <dgm:cxn modelId="{99755451-7AE4-4614-9F53-D0305CF988B9}" type="presParOf" srcId="{4D3F11B3-1E82-4CEB-AF00-6C7703FC42CF}" destId="{E05EE0D6-A493-4691-A492-AA96A8B0E52E}" srcOrd="1" destOrd="0" presId="urn:microsoft.com/office/officeart/2005/8/layout/radial1"/>
    <dgm:cxn modelId="{1C86EDE4-5817-4034-84A2-1D161823C685}" type="presParOf" srcId="{E05EE0D6-A493-4691-A492-AA96A8B0E52E}" destId="{FE5ABB9B-806D-4DE8-86E3-602D6A53492D}" srcOrd="0" destOrd="0" presId="urn:microsoft.com/office/officeart/2005/8/layout/radial1"/>
    <dgm:cxn modelId="{6E441C26-5ACA-492C-9CA2-E0994D8DE31C}" type="presParOf" srcId="{4D3F11B3-1E82-4CEB-AF00-6C7703FC42CF}" destId="{999C2C04-5DD1-4F83-866D-7D7CCD1410B5}" srcOrd="2" destOrd="0" presId="urn:microsoft.com/office/officeart/2005/8/layout/radial1"/>
    <dgm:cxn modelId="{EC740115-642E-4275-8567-771784F15040}" type="presParOf" srcId="{4D3F11B3-1E82-4CEB-AF00-6C7703FC42CF}" destId="{09C9F539-94AA-4BD5-B82E-C3E7EFFA9D02}" srcOrd="3" destOrd="0" presId="urn:microsoft.com/office/officeart/2005/8/layout/radial1"/>
    <dgm:cxn modelId="{7C85735E-5121-47AB-BA20-FE386D68F211}" type="presParOf" srcId="{09C9F539-94AA-4BD5-B82E-C3E7EFFA9D02}" destId="{5CA9DCB9-F34C-494D-A250-54B492666A3C}" srcOrd="0" destOrd="0" presId="urn:microsoft.com/office/officeart/2005/8/layout/radial1"/>
    <dgm:cxn modelId="{C1833CDE-404F-486A-932F-9C0BC1D6589C}" type="presParOf" srcId="{4D3F11B3-1E82-4CEB-AF00-6C7703FC42CF}" destId="{44BA647C-92C2-4F36-80B7-80A5A17F3B42}" srcOrd="4" destOrd="0" presId="urn:microsoft.com/office/officeart/2005/8/layout/radial1"/>
    <dgm:cxn modelId="{6B0B039C-6CCE-4890-8DBE-77D99F6EB40B}" type="presParOf" srcId="{4D3F11B3-1E82-4CEB-AF00-6C7703FC42CF}" destId="{A97911A0-627F-4E09-A7A0-64B12264F819}" srcOrd="5" destOrd="0" presId="urn:microsoft.com/office/officeart/2005/8/layout/radial1"/>
    <dgm:cxn modelId="{3958B7AD-794C-4CC7-B39F-6AD18B5E377A}" type="presParOf" srcId="{A97911A0-627F-4E09-A7A0-64B12264F819}" destId="{5B387054-3FC3-4BE0-A9ED-134AEC35D720}" srcOrd="0" destOrd="0" presId="urn:microsoft.com/office/officeart/2005/8/layout/radial1"/>
    <dgm:cxn modelId="{ACDB3677-A07D-4182-848E-2EE6BBE0A7F6}" type="presParOf" srcId="{4D3F11B3-1E82-4CEB-AF00-6C7703FC42CF}" destId="{3A1A464F-EA8F-4750-8422-FDC62C8B81D7}" srcOrd="6" destOrd="0" presId="urn:microsoft.com/office/officeart/2005/8/layout/radial1"/>
    <dgm:cxn modelId="{42CE2819-9D47-4946-A4B2-C7A96090AD46}" type="presParOf" srcId="{4D3F11B3-1E82-4CEB-AF00-6C7703FC42CF}" destId="{88EF1F46-860B-4F71-80F0-E48521E65869}" srcOrd="7" destOrd="0" presId="urn:microsoft.com/office/officeart/2005/8/layout/radial1"/>
    <dgm:cxn modelId="{4F5BD1F4-79F1-4107-BB84-4550D06CADEE}" type="presParOf" srcId="{88EF1F46-860B-4F71-80F0-E48521E65869}" destId="{4A0293AA-F01D-4E7D-9202-137A9975D69A}" srcOrd="0" destOrd="0" presId="urn:microsoft.com/office/officeart/2005/8/layout/radial1"/>
    <dgm:cxn modelId="{9273D1BF-7793-4C36-A60F-EB2B2007718D}" type="presParOf" srcId="{4D3F11B3-1E82-4CEB-AF00-6C7703FC42CF}" destId="{1D0F4F1B-27DA-407B-9EB5-382A4515191D}" srcOrd="8" destOrd="0" presId="urn:microsoft.com/office/officeart/2005/8/layout/radial1"/>
    <dgm:cxn modelId="{89AD2322-5015-427A-A244-063EA7D36842}" type="presParOf" srcId="{4D3F11B3-1E82-4CEB-AF00-6C7703FC42CF}" destId="{49CF188C-9BE1-4A83-8EEA-F1EDC820D77C}" srcOrd="9" destOrd="0" presId="urn:microsoft.com/office/officeart/2005/8/layout/radial1"/>
    <dgm:cxn modelId="{D858E6AD-AA3A-4C04-9CF2-B798D719D5B1}" type="presParOf" srcId="{49CF188C-9BE1-4A83-8EEA-F1EDC820D77C}" destId="{3724CCF5-6899-412E-905E-23BE59E0C01B}" srcOrd="0" destOrd="0" presId="urn:microsoft.com/office/officeart/2005/8/layout/radial1"/>
    <dgm:cxn modelId="{CA4BE1BB-C5D5-4AE0-AE6B-E7BB54B8C2F0}" type="presParOf" srcId="{4D3F11B3-1E82-4CEB-AF00-6C7703FC42CF}" destId="{5121748A-C064-4F07-B29A-BC1E378A385F}" srcOrd="10" destOrd="0" presId="urn:microsoft.com/office/officeart/2005/8/layout/radial1"/>
    <dgm:cxn modelId="{EB71465D-58D6-4F87-9A31-0239611AF2C9}" type="presParOf" srcId="{4D3F11B3-1E82-4CEB-AF00-6C7703FC42CF}" destId="{63A62071-96F8-4F95-A539-2A9280331C59}" srcOrd="11" destOrd="0" presId="urn:microsoft.com/office/officeart/2005/8/layout/radial1"/>
    <dgm:cxn modelId="{2D65B74A-A9C4-4584-9202-70C53B8BC570}" type="presParOf" srcId="{63A62071-96F8-4F95-A539-2A9280331C59}" destId="{7269A8ED-47BB-4D9C-A364-96B972E4CC38}" srcOrd="0" destOrd="0" presId="urn:microsoft.com/office/officeart/2005/8/layout/radial1"/>
    <dgm:cxn modelId="{9974CAFB-A991-4442-928B-0042995C1CA8}" type="presParOf" srcId="{4D3F11B3-1E82-4CEB-AF00-6C7703FC42CF}" destId="{2152CD24-9E02-4B5D-B717-786168059891}" srcOrd="12" destOrd="0" presId="urn:microsoft.com/office/officeart/2005/8/layout/radial1"/>
    <dgm:cxn modelId="{37AB371F-0B8B-45DC-9B70-8F4B766E6BE9}" type="presParOf" srcId="{4D3F11B3-1E82-4CEB-AF00-6C7703FC42CF}" destId="{95071ACE-EE65-427E-B192-8848668B3C54}" srcOrd="13" destOrd="0" presId="urn:microsoft.com/office/officeart/2005/8/layout/radial1"/>
    <dgm:cxn modelId="{8F697A00-0B30-4901-B4BC-C7BB89C583A0}" type="presParOf" srcId="{95071ACE-EE65-427E-B192-8848668B3C54}" destId="{38B8543D-D17F-4615-8B96-6160504D83A1}" srcOrd="0" destOrd="0" presId="urn:microsoft.com/office/officeart/2005/8/layout/radial1"/>
    <dgm:cxn modelId="{0C7E59F2-C606-4A55-AEC9-47F1335E0204}" type="presParOf" srcId="{4D3F11B3-1E82-4CEB-AF00-6C7703FC42CF}" destId="{FFC70FED-FD9C-45A7-8173-C26759F0C0C6}" srcOrd="14" destOrd="0" presId="urn:microsoft.com/office/officeart/2005/8/layout/radial1"/>
    <dgm:cxn modelId="{2B275CF1-5F7E-4B06-9B70-144AC90C93B4}" type="presParOf" srcId="{4D3F11B3-1E82-4CEB-AF00-6C7703FC42CF}" destId="{C87936ED-FAEF-4020-BE22-7B6CCB8E1B16}" srcOrd="15" destOrd="0" presId="urn:microsoft.com/office/officeart/2005/8/layout/radial1"/>
    <dgm:cxn modelId="{58234042-1E2A-4A59-9D42-D64E88F1EA27}" type="presParOf" srcId="{C87936ED-FAEF-4020-BE22-7B6CCB8E1B16}" destId="{9C61E384-21B4-4471-BAD3-975ED27BC047}" srcOrd="0" destOrd="0" presId="urn:microsoft.com/office/officeart/2005/8/layout/radial1"/>
    <dgm:cxn modelId="{9B556D73-293E-4E76-8421-F2B2B94E92B5}" type="presParOf" srcId="{4D3F11B3-1E82-4CEB-AF00-6C7703FC42CF}" destId="{1B7DCB21-28B2-4873-9784-29F4DED739B2}" srcOrd="16" destOrd="0" presId="urn:microsoft.com/office/officeart/2005/8/layout/radial1"/>
    <dgm:cxn modelId="{892BD92C-9E8E-4F5A-9EC4-E6AA42E08CB8}" type="presParOf" srcId="{4D3F11B3-1E82-4CEB-AF00-6C7703FC42CF}" destId="{DEF68B88-B9BB-48E8-A8DB-C71B9BA03585}" srcOrd="17" destOrd="0" presId="urn:microsoft.com/office/officeart/2005/8/layout/radial1"/>
    <dgm:cxn modelId="{DC524DD7-9E8E-4841-8673-9316EA734069}" type="presParOf" srcId="{DEF68B88-B9BB-48E8-A8DB-C71B9BA03585}" destId="{221E25A6-03AE-4DE1-B212-BBE9583B8C9E}" srcOrd="0" destOrd="0" presId="urn:microsoft.com/office/officeart/2005/8/layout/radial1"/>
    <dgm:cxn modelId="{D366ACCD-6AD6-4541-8129-5A1F70FB98D3}" type="presParOf" srcId="{4D3F11B3-1E82-4CEB-AF00-6C7703FC42CF}" destId="{4308602A-F09F-4BBC-8967-B1757111AB00}" srcOrd="18" destOrd="0" presId="urn:microsoft.com/office/officeart/2005/8/layout/radial1"/>
    <dgm:cxn modelId="{D1C4DDFF-602B-41DA-A534-860389B28328}" type="presParOf" srcId="{4D3F11B3-1E82-4CEB-AF00-6C7703FC42CF}" destId="{A4EFBDEA-7DE3-4515-81AE-9133DCD43C8A}" srcOrd="19" destOrd="0" presId="urn:microsoft.com/office/officeart/2005/8/layout/radial1"/>
    <dgm:cxn modelId="{F5B502E5-97A2-4199-B102-8F20FD26A529}" type="presParOf" srcId="{A4EFBDEA-7DE3-4515-81AE-9133DCD43C8A}" destId="{E00B1961-59DF-4A02-B97D-F354E6979EDF}" srcOrd="0" destOrd="0" presId="urn:microsoft.com/office/officeart/2005/8/layout/radial1"/>
    <dgm:cxn modelId="{E16109FC-DE2D-4585-857C-D048A42F9FB3}" type="presParOf" srcId="{4D3F11B3-1E82-4CEB-AF00-6C7703FC42CF}" destId="{80C33C16-4C3B-4277-8043-B8CD637ACA5E}" srcOrd="20" destOrd="0" presId="urn:microsoft.com/office/officeart/2005/8/layout/radial1"/>
  </dgm:cxnLst>
  <dgm:bg>
    <a:noFill/>
  </dgm:bg>
  <dgm:whole>
    <a:ln>
      <a:noFill/>
    </a:ln>
  </dgm:whole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AA6C56E-F98B-4A50-BD52-A8DB6E487BBA}">
      <dsp:nvSpPr>
        <dsp:cNvPr id="0" name=""/>
        <dsp:cNvSpPr/>
      </dsp:nvSpPr>
      <dsp:spPr>
        <a:xfrm>
          <a:off x="4488734" y="2542108"/>
          <a:ext cx="643668" cy="600303"/>
        </a:xfrm>
        <a:prstGeom prst="ellipse">
          <a:avLst/>
        </a:prstGeom>
        <a:solidFill>
          <a:schemeClr val="dk2"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5715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latin typeface="Poppins" panose="00000500000000000000" pitchFamily="2" charset="0"/>
              <a:cs typeface="Poppins" panose="00000500000000000000" pitchFamily="2" charset="0"/>
            </a:rPr>
            <a:t>Valor</a:t>
          </a:r>
        </a:p>
      </dsp:txBody>
      <dsp:txXfrm>
        <a:off x="4582997" y="2630020"/>
        <a:ext cx="455142" cy="424479"/>
      </dsp:txXfrm>
    </dsp:sp>
    <dsp:sp modelId="{E05EE0D6-A493-4691-A492-AA96A8B0E52E}">
      <dsp:nvSpPr>
        <dsp:cNvPr id="0" name=""/>
        <dsp:cNvSpPr/>
      </dsp:nvSpPr>
      <dsp:spPr>
        <a:xfrm rot="16200000">
          <a:off x="4091076" y="1812521"/>
          <a:ext cx="1438984" cy="20187"/>
        </a:xfrm>
        <a:custGeom>
          <a:avLst/>
          <a:gdLst/>
          <a:ahLst/>
          <a:cxnLst/>
          <a:rect l="0" t="0" r="0" b="0"/>
          <a:pathLst>
            <a:path>
              <a:moveTo>
                <a:pt x="0" y="10093"/>
              </a:moveTo>
              <a:lnTo>
                <a:pt x="1438984" y="1009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kern="1200">
            <a:latin typeface="Poppins" panose="00000500000000000000" pitchFamily="2" charset="0"/>
            <a:cs typeface="Poppins" panose="00000500000000000000" pitchFamily="2" charset="0"/>
          </a:endParaRPr>
        </a:p>
      </dsp:txBody>
      <dsp:txXfrm>
        <a:off x="4774594" y="1786641"/>
        <a:ext cx="71949" cy="71949"/>
      </dsp:txXfrm>
    </dsp:sp>
    <dsp:sp modelId="{999C2C04-5DD1-4F83-866D-7D7CCD1410B5}">
      <dsp:nvSpPr>
        <dsp:cNvPr id="0" name=""/>
        <dsp:cNvSpPr/>
      </dsp:nvSpPr>
      <dsp:spPr>
        <a:xfrm>
          <a:off x="4269598" y="21182"/>
          <a:ext cx="1081940" cy="1081940"/>
        </a:xfrm>
        <a:prstGeom prst="ellipse">
          <a:avLst/>
        </a:prstGeom>
        <a:solidFill>
          <a:srgbClr val="143778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" lastClr="FFFFFF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Cambio medio en (BCVA)</a:t>
          </a:r>
        </a:p>
      </dsp:txBody>
      <dsp:txXfrm>
        <a:off x="4428044" y="179628"/>
        <a:ext cx="765048" cy="765048"/>
      </dsp:txXfrm>
    </dsp:sp>
    <dsp:sp modelId="{09C9F539-94AA-4BD5-B82E-C3E7EFFA9D02}">
      <dsp:nvSpPr>
        <dsp:cNvPr id="0" name=""/>
        <dsp:cNvSpPr/>
      </dsp:nvSpPr>
      <dsp:spPr>
        <a:xfrm rot="18360000">
          <a:off x="4695955" y="2004429"/>
          <a:ext cx="1431997" cy="20187"/>
        </a:xfrm>
        <a:custGeom>
          <a:avLst/>
          <a:gdLst/>
          <a:ahLst/>
          <a:cxnLst/>
          <a:rect l="0" t="0" r="0" b="0"/>
          <a:pathLst>
            <a:path>
              <a:moveTo>
                <a:pt x="0" y="10093"/>
              </a:moveTo>
              <a:lnTo>
                <a:pt x="1431997" y="1009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kern="1200">
            <a:latin typeface="Poppins" panose="00000500000000000000" pitchFamily="2" charset="0"/>
            <a:cs typeface="Poppins" panose="00000500000000000000" pitchFamily="2" charset="0"/>
          </a:endParaRPr>
        </a:p>
      </dsp:txBody>
      <dsp:txXfrm>
        <a:off x="5376154" y="1978723"/>
        <a:ext cx="71599" cy="71599"/>
      </dsp:txXfrm>
    </dsp:sp>
    <dsp:sp modelId="{44BA647C-92C2-4F36-80B7-80A5A17F3B42}">
      <dsp:nvSpPr>
        <dsp:cNvPr id="0" name=""/>
        <dsp:cNvSpPr/>
      </dsp:nvSpPr>
      <dsp:spPr>
        <a:xfrm>
          <a:off x="5609811" y="456644"/>
          <a:ext cx="1081940" cy="1081940"/>
        </a:xfrm>
        <a:prstGeom prst="ellipse">
          <a:avLst/>
        </a:prstGeom>
        <a:solidFill>
          <a:srgbClr val="143778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" lastClr="FFFFFF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Ganancia ≥15 letras en BCVA</a:t>
          </a:r>
        </a:p>
      </dsp:txBody>
      <dsp:txXfrm>
        <a:off x="5768257" y="615090"/>
        <a:ext cx="765048" cy="765048"/>
      </dsp:txXfrm>
    </dsp:sp>
    <dsp:sp modelId="{A97911A0-627F-4E09-A7A0-64B12264F819}">
      <dsp:nvSpPr>
        <dsp:cNvPr id="0" name=""/>
        <dsp:cNvSpPr/>
      </dsp:nvSpPr>
      <dsp:spPr>
        <a:xfrm rot="20507818">
          <a:off x="5079781" y="2518208"/>
          <a:ext cx="1371046" cy="20187"/>
        </a:xfrm>
        <a:custGeom>
          <a:avLst/>
          <a:gdLst/>
          <a:ahLst/>
          <a:cxnLst/>
          <a:rect l="0" t="0" r="0" b="0"/>
          <a:pathLst>
            <a:path>
              <a:moveTo>
                <a:pt x="0" y="10093"/>
              </a:moveTo>
              <a:lnTo>
                <a:pt x="1371046" y="1009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b="1" kern="1200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dsp:txBody>
      <dsp:txXfrm>
        <a:off x="5731028" y="2494026"/>
        <a:ext cx="68552" cy="68552"/>
      </dsp:txXfrm>
    </dsp:sp>
    <dsp:sp modelId="{3A1A464F-EA8F-4750-8422-FDC62C8B81D7}">
      <dsp:nvSpPr>
        <dsp:cNvPr id="0" name=""/>
        <dsp:cNvSpPr/>
      </dsp:nvSpPr>
      <dsp:spPr>
        <a:xfrm>
          <a:off x="6388957" y="1561287"/>
          <a:ext cx="1133506" cy="1151120"/>
        </a:xfrm>
        <a:prstGeom prst="ellipse">
          <a:avLst/>
        </a:prstGeom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Desprendimiento de retina </a:t>
          </a:r>
        </a:p>
      </dsp:txBody>
      <dsp:txXfrm>
        <a:off x="6554955" y="1729865"/>
        <a:ext cx="801510" cy="813964"/>
      </dsp:txXfrm>
    </dsp:sp>
    <dsp:sp modelId="{88EF1F46-860B-4F71-80F0-E48521E65869}">
      <dsp:nvSpPr>
        <dsp:cNvPr id="0" name=""/>
        <dsp:cNvSpPr/>
      </dsp:nvSpPr>
      <dsp:spPr>
        <a:xfrm rot="1080000">
          <a:off x="5079747" y="3150251"/>
          <a:ext cx="1419578" cy="20187"/>
        </a:xfrm>
        <a:custGeom>
          <a:avLst/>
          <a:gdLst/>
          <a:ahLst/>
          <a:cxnLst/>
          <a:rect l="0" t="0" r="0" b="0"/>
          <a:pathLst>
            <a:path>
              <a:moveTo>
                <a:pt x="0" y="10093"/>
              </a:moveTo>
              <a:lnTo>
                <a:pt x="1419578" y="1009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b="1" kern="1200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dsp:txBody>
      <dsp:txXfrm>
        <a:off x="5754046" y="3124856"/>
        <a:ext cx="70978" cy="70978"/>
      </dsp:txXfrm>
    </dsp:sp>
    <dsp:sp modelId="{1D0F4F1B-27DA-407B-9EB5-382A4515191D}">
      <dsp:nvSpPr>
        <dsp:cNvPr id="0" name=""/>
        <dsp:cNvSpPr/>
      </dsp:nvSpPr>
      <dsp:spPr>
        <a:xfrm>
          <a:off x="6438108" y="3005881"/>
          <a:ext cx="1081940" cy="1081940"/>
        </a:xfrm>
        <a:prstGeom prst="ellipse">
          <a:avLst/>
        </a:prstGeom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Infarto agudo de miocardio</a:t>
          </a:r>
        </a:p>
      </dsp:txBody>
      <dsp:txXfrm>
        <a:off x="6596554" y="3164327"/>
        <a:ext cx="765048" cy="765048"/>
      </dsp:txXfrm>
    </dsp:sp>
    <dsp:sp modelId="{49CF188C-9BE1-4A83-8EEA-F1EDC820D77C}">
      <dsp:nvSpPr>
        <dsp:cNvPr id="0" name=""/>
        <dsp:cNvSpPr/>
      </dsp:nvSpPr>
      <dsp:spPr>
        <a:xfrm rot="3240000">
          <a:off x="4695955" y="3659902"/>
          <a:ext cx="1431997" cy="20187"/>
        </a:xfrm>
        <a:custGeom>
          <a:avLst/>
          <a:gdLst/>
          <a:ahLst/>
          <a:cxnLst/>
          <a:rect l="0" t="0" r="0" b="0"/>
          <a:pathLst>
            <a:path>
              <a:moveTo>
                <a:pt x="0" y="10093"/>
              </a:moveTo>
              <a:lnTo>
                <a:pt x="1431997" y="1009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kern="1200">
            <a:latin typeface="Poppins" panose="00000500000000000000" pitchFamily="2" charset="0"/>
            <a:cs typeface="Poppins" panose="00000500000000000000" pitchFamily="2" charset="0"/>
          </a:endParaRPr>
        </a:p>
      </dsp:txBody>
      <dsp:txXfrm>
        <a:off x="5376154" y="3634196"/>
        <a:ext cx="71599" cy="71599"/>
      </dsp:txXfrm>
    </dsp:sp>
    <dsp:sp modelId="{5121748A-C064-4F07-B29A-BC1E378A385F}">
      <dsp:nvSpPr>
        <dsp:cNvPr id="0" name=""/>
        <dsp:cNvSpPr/>
      </dsp:nvSpPr>
      <dsp:spPr>
        <a:xfrm>
          <a:off x="5609811" y="4145934"/>
          <a:ext cx="1081940" cy="1081940"/>
        </a:xfrm>
        <a:prstGeom prst="ellipse">
          <a:avLst/>
        </a:prstGeom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Endoftalmitis</a:t>
          </a:r>
        </a:p>
      </dsp:txBody>
      <dsp:txXfrm>
        <a:off x="5768257" y="4304380"/>
        <a:ext cx="765048" cy="765048"/>
      </dsp:txXfrm>
    </dsp:sp>
    <dsp:sp modelId="{63A62071-96F8-4F95-A539-2A9280331C59}">
      <dsp:nvSpPr>
        <dsp:cNvPr id="0" name=""/>
        <dsp:cNvSpPr/>
      </dsp:nvSpPr>
      <dsp:spPr>
        <a:xfrm rot="5425468">
          <a:off x="4072821" y="3862405"/>
          <a:ext cx="1460229" cy="20187"/>
        </a:xfrm>
        <a:custGeom>
          <a:avLst/>
          <a:gdLst/>
          <a:ahLst/>
          <a:cxnLst/>
          <a:rect l="0" t="0" r="0" b="0"/>
          <a:pathLst>
            <a:path>
              <a:moveTo>
                <a:pt x="0" y="10093"/>
              </a:moveTo>
              <a:lnTo>
                <a:pt x="1460229" y="1009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kern="1200">
            <a:latin typeface="Poppins" panose="00000500000000000000" pitchFamily="2" charset="0"/>
            <a:cs typeface="Poppins" panose="00000500000000000000" pitchFamily="2" charset="0"/>
          </a:endParaRPr>
        </a:p>
      </dsp:txBody>
      <dsp:txXfrm rot="10800000">
        <a:off x="4766430" y="3835993"/>
        <a:ext cx="73011" cy="73011"/>
      </dsp:txXfrm>
    </dsp:sp>
    <dsp:sp modelId="{2152CD24-9E02-4B5D-B717-786168059891}">
      <dsp:nvSpPr>
        <dsp:cNvPr id="0" name=""/>
        <dsp:cNvSpPr/>
      </dsp:nvSpPr>
      <dsp:spPr>
        <a:xfrm>
          <a:off x="4252549" y="4602579"/>
          <a:ext cx="1081940" cy="1081940"/>
        </a:xfrm>
        <a:prstGeom prst="ellipse">
          <a:avLst/>
        </a:prstGeom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Supresión sistémica de VEGF</a:t>
          </a:r>
        </a:p>
      </dsp:txBody>
      <dsp:txXfrm>
        <a:off x="4410995" y="4761025"/>
        <a:ext cx="765048" cy="765048"/>
      </dsp:txXfrm>
    </dsp:sp>
    <dsp:sp modelId="{95071ACE-EE65-427E-B192-8848668B3C54}">
      <dsp:nvSpPr>
        <dsp:cNvPr id="0" name=""/>
        <dsp:cNvSpPr/>
      </dsp:nvSpPr>
      <dsp:spPr>
        <a:xfrm rot="7560000">
          <a:off x="3493184" y="3659902"/>
          <a:ext cx="1431997" cy="20187"/>
        </a:xfrm>
        <a:custGeom>
          <a:avLst/>
          <a:gdLst/>
          <a:ahLst/>
          <a:cxnLst/>
          <a:rect l="0" t="0" r="0" b="0"/>
          <a:pathLst>
            <a:path>
              <a:moveTo>
                <a:pt x="0" y="10093"/>
              </a:moveTo>
              <a:lnTo>
                <a:pt x="1431997" y="1009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kern="1200">
            <a:latin typeface="Poppins" panose="00000500000000000000" pitchFamily="2" charset="0"/>
            <a:cs typeface="Poppins" panose="00000500000000000000" pitchFamily="2" charset="0"/>
          </a:endParaRPr>
        </a:p>
      </dsp:txBody>
      <dsp:txXfrm rot="10800000">
        <a:off x="4173383" y="3634196"/>
        <a:ext cx="71599" cy="71599"/>
      </dsp:txXfrm>
    </dsp:sp>
    <dsp:sp modelId="{FFC70FED-FD9C-45A7-8173-C26759F0C0C6}">
      <dsp:nvSpPr>
        <dsp:cNvPr id="0" name=""/>
        <dsp:cNvSpPr/>
      </dsp:nvSpPr>
      <dsp:spPr>
        <a:xfrm>
          <a:off x="2929385" y="4145934"/>
          <a:ext cx="1081940" cy="1081940"/>
        </a:xfrm>
        <a:prstGeom prst="ellipse">
          <a:avLst/>
        </a:prstGeom>
        <a:solidFill>
          <a:srgbClr val="4BACC6">
            <a:lumMod val="75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5715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Calidad de vida</a:t>
          </a:r>
        </a:p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b="1" kern="1200" dirty="0">
            <a:solidFill>
              <a:sysClr val="windowText" lastClr="000000"/>
            </a:solidFill>
            <a:latin typeface="Poppins" panose="00000500000000000000" pitchFamily="2" charset="0"/>
            <a:ea typeface="+mn-ea"/>
            <a:cs typeface="Poppins" panose="00000500000000000000" pitchFamily="2" charset="0"/>
          </a:endParaRPr>
        </a:p>
      </dsp:txBody>
      <dsp:txXfrm>
        <a:off x="3087831" y="4304380"/>
        <a:ext cx="765048" cy="765048"/>
      </dsp:txXfrm>
    </dsp:sp>
    <dsp:sp modelId="{C87936ED-FAEF-4020-BE22-7B6CCB8E1B16}">
      <dsp:nvSpPr>
        <dsp:cNvPr id="0" name=""/>
        <dsp:cNvSpPr/>
      </dsp:nvSpPr>
      <dsp:spPr>
        <a:xfrm rot="9720000">
          <a:off x="3121811" y="3150251"/>
          <a:ext cx="1419578" cy="20187"/>
        </a:xfrm>
        <a:custGeom>
          <a:avLst/>
          <a:gdLst/>
          <a:ahLst/>
          <a:cxnLst/>
          <a:rect l="0" t="0" r="0" b="0"/>
          <a:pathLst>
            <a:path>
              <a:moveTo>
                <a:pt x="0" y="10093"/>
              </a:moveTo>
              <a:lnTo>
                <a:pt x="1419578" y="1009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kern="1200">
            <a:latin typeface="Poppins" panose="00000500000000000000" pitchFamily="2" charset="0"/>
            <a:cs typeface="Poppins" panose="00000500000000000000" pitchFamily="2" charset="0"/>
          </a:endParaRPr>
        </a:p>
      </dsp:txBody>
      <dsp:txXfrm rot="10800000">
        <a:off x="3796111" y="3124856"/>
        <a:ext cx="70978" cy="70978"/>
      </dsp:txXfrm>
    </dsp:sp>
    <dsp:sp modelId="{1B7DCB21-28B2-4873-9784-29F4DED739B2}">
      <dsp:nvSpPr>
        <dsp:cNvPr id="0" name=""/>
        <dsp:cNvSpPr/>
      </dsp:nvSpPr>
      <dsp:spPr>
        <a:xfrm>
          <a:off x="2101087" y="3005881"/>
          <a:ext cx="1081940" cy="1081940"/>
        </a:xfrm>
        <a:prstGeom prst="ellipse">
          <a:avLst/>
        </a:prstGeom>
        <a:solidFill>
          <a:srgbClr val="4BACC6">
            <a:lumMod val="75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5715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Discapacidad</a:t>
          </a:r>
        </a:p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b="1" kern="1200" dirty="0">
            <a:solidFill>
              <a:sysClr val="windowText" lastClr="000000"/>
            </a:solidFill>
            <a:latin typeface="Poppins" panose="00000500000000000000" pitchFamily="2" charset="0"/>
            <a:ea typeface="+mn-ea"/>
            <a:cs typeface="Poppins" panose="00000500000000000000" pitchFamily="2" charset="0"/>
          </a:endParaRPr>
        </a:p>
      </dsp:txBody>
      <dsp:txXfrm>
        <a:off x="2259533" y="3164327"/>
        <a:ext cx="765048" cy="765048"/>
      </dsp:txXfrm>
    </dsp:sp>
    <dsp:sp modelId="{DEF68B88-B9BB-48E8-A8DB-C71B9BA03585}">
      <dsp:nvSpPr>
        <dsp:cNvPr id="0" name=""/>
        <dsp:cNvSpPr/>
      </dsp:nvSpPr>
      <dsp:spPr>
        <a:xfrm rot="11880000">
          <a:off x="3121811" y="2514080"/>
          <a:ext cx="1419578" cy="20187"/>
        </a:xfrm>
        <a:custGeom>
          <a:avLst/>
          <a:gdLst/>
          <a:ahLst/>
          <a:cxnLst/>
          <a:rect l="0" t="0" r="0" b="0"/>
          <a:pathLst>
            <a:path>
              <a:moveTo>
                <a:pt x="0" y="10093"/>
              </a:moveTo>
              <a:lnTo>
                <a:pt x="1419578" y="1009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kern="1200">
            <a:latin typeface="Poppins" panose="00000500000000000000" pitchFamily="2" charset="0"/>
            <a:cs typeface="Poppins" panose="00000500000000000000" pitchFamily="2" charset="0"/>
          </a:endParaRPr>
        </a:p>
      </dsp:txBody>
      <dsp:txXfrm rot="10800000">
        <a:off x="3796111" y="2488684"/>
        <a:ext cx="70978" cy="70978"/>
      </dsp:txXfrm>
    </dsp:sp>
    <dsp:sp modelId="{4308602A-F09F-4BBC-8967-B1757111AB00}">
      <dsp:nvSpPr>
        <dsp:cNvPr id="0" name=""/>
        <dsp:cNvSpPr/>
      </dsp:nvSpPr>
      <dsp:spPr>
        <a:xfrm>
          <a:off x="2101087" y="1596697"/>
          <a:ext cx="1081940" cy="1081940"/>
        </a:xfrm>
        <a:prstGeom prst="ellipse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8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Estado de aprobación regulatoria</a:t>
          </a:r>
        </a:p>
      </dsp:txBody>
      <dsp:txXfrm>
        <a:off x="2259533" y="1755143"/>
        <a:ext cx="765048" cy="765048"/>
      </dsp:txXfrm>
    </dsp:sp>
    <dsp:sp modelId="{A4EFBDEA-7DE3-4515-81AE-9133DCD43C8A}">
      <dsp:nvSpPr>
        <dsp:cNvPr id="0" name=""/>
        <dsp:cNvSpPr/>
      </dsp:nvSpPr>
      <dsp:spPr>
        <a:xfrm rot="14040000">
          <a:off x="3493184" y="2004429"/>
          <a:ext cx="1431997" cy="20187"/>
        </a:xfrm>
        <a:custGeom>
          <a:avLst/>
          <a:gdLst/>
          <a:ahLst/>
          <a:cxnLst/>
          <a:rect l="0" t="0" r="0" b="0"/>
          <a:pathLst>
            <a:path>
              <a:moveTo>
                <a:pt x="0" y="10093"/>
              </a:moveTo>
              <a:lnTo>
                <a:pt x="1431997" y="1009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kern="1200">
            <a:latin typeface="Poppins" panose="00000500000000000000" pitchFamily="2" charset="0"/>
            <a:cs typeface="Poppins" panose="00000500000000000000" pitchFamily="2" charset="0"/>
          </a:endParaRPr>
        </a:p>
      </dsp:txBody>
      <dsp:txXfrm rot="10800000">
        <a:off x="4173383" y="1978723"/>
        <a:ext cx="71599" cy="71599"/>
      </dsp:txXfrm>
    </dsp:sp>
    <dsp:sp modelId="{80C33C16-4C3B-4277-8043-B8CD637ACA5E}">
      <dsp:nvSpPr>
        <dsp:cNvPr id="0" name=""/>
        <dsp:cNvSpPr/>
      </dsp:nvSpPr>
      <dsp:spPr>
        <a:xfrm>
          <a:off x="2929385" y="456644"/>
          <a:ext cx="1081940" cy="1081940"/>
        </a:xfrm>
        <a:prstGeom prst="ellipse">
          <a:avLst/>
        </a:prstGeom>
        <a:solidFill>
          <a:srgbClr val="1F497D">
            <a:lumMod val="60000"/>
            <a:lumOff val="4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8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Inclusión en guías de práctica clínica</a:t>
          </a:r>
        </a:p>
      </dsp:txBody>
      <dsp:txXfrm>
        <a:off x="3087831" y="615090"/>
        <a:ext cx="765048" cy="765048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radial1">
  <dgm:title val=""/>
  <dgm:desc val=""/>
  <dgm:catLst>
    <dgm:cat type="relationship" pri="22000"/>
    <dgm:cat type="cycle" pri="10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  <dgm:pt modelId="14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  <dgm:cxn modelId="6" srcId="1" destId="14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13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12"/>
        <dgm:pt modelId="13"/>
        <dgm:pt modelId="14"/>
        <dgm:pt modelId="15"/>
        <dgm:pt modelId="16"/>
      </dgm:ptLst>
      <dgm:cxnLst>
        <dgm:cxn modelId="2" srcId="0" destId="1" srcOrd="0" destOrd="0"/>
        <dgm:cxn modelId="16" srcId="1" destId="11" srcOrd="0" destOrd="0"/>
        <dgm:cxn modelId="17" srcId="1" destId="12" srcOrd="1" destOrd="0"/>
        <dgm:cxn modelId="18" srcId="1" destId="13" srcOrd="2" destOrd="0"/>
        <dgm:cxn modelId="19" srcId="1" destId="14" srcOrd="3" destOrd="0"/>
        <dgm:cxn modelId="20" srcId="1" destId="15" srcOrd="4" destOrd="0"/>
        <dgm:cxn modelId="21" srcId="1" destId="16" srcOrd="5" destOrd="0"/>
      </dgm:cxnLst>
      <dgm:bg/>
      <dgm:whole/>
    </dgm:dataModel>
  </dgm:clrData>
  <dgm:layoutNode name="cycle">
    <dgm:varLst>
      <dgm:chMax val="1"/>
      <dgm:dir/>
      <dgm:animLvl val="ctr"/>
      <dgm:resizeHandles val="exact"/>
    </dgm:varLst>
    <dgm:choose name="Name0">
      <dgm:if name="Name1" func="var" arg="dir" op="equ" val="norm">
        <dgm:choose name="Name2">
          <dgm:if name="Name3" axis="ch ch" ptType="node node" st="1 1" cnt="1 0" func="cnt" op="lte" val="1">
            <dgm:alg type="cycle">
              <dgm:param type="stAng" val="90"/>
              <dgm:param type="spanAng" val="360"/>
              <dgm:param type="ctrShpMap" val="fNode"/>
            </dgm:alg>
          </dgm:if>
          <dgm:else name="Name4">
            <dgm:alg type="cycle">
              <dgm:param type="stAng" val="0"/>
              <dgm:param type="spanAng" val="360"/>
              <dgm:param type="ctrShpMap" val="fNode"/>
            </dgm:alg>
          </dgm:else>
        </dgm:choose>
      </dgm:if>
      <dgm:else name="Name5">
        <dgm:alg type="cycle">
          <dgm:param type="stAng" val="0"/>
          <dgm:param type="spanAng" val="-360"/>
          <dgm:param type="ctrShpMap" val="fNode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enterShape" refType="w"/>
      <dgm:constr type="w" for="ch" forName="node" refType="w" refFor="ch" refForName="centerShape" op="equ"/>
      <dgm:constr type="sp" refType="w" refFor="ch" refForName="node" fact="0.3"/>
      <dgm:constr type="sibSp" refType="w" refFor="ch" refForName="node" fact="0.3"/>
      <dgm:constr type="primFontSz" for="ch" forName="centerShape" val="65"/>
      <dgm:constr type="primFontSz" for="des" forName="node" op="equ" val="65"/>
      <dgm:constr type="primFontSz" for="des" forName="connTx" val="55"/>
      <dgm:constr type="primFontSz" for="des" forName="connTx" refType="primFontSz" refFor="ch" refForName="centerShape" op="lte" fact="0.8"/>
    </dgm:constrLst>
    <dgm:ruleLst/>
    <dgm:forEach name="Name6" axis="ch" ptType="node" cnt="1">
      <dgm:layoutNode name="centerShape" styleLbl="node0">
        <dgm:alg type="tx"/>
        <dgm:shape xmlns:r="http://schemas.openxmlformats.org/officeDocument/2006/relationships" type="ellipse" r:blip="">
          <dgm:adjLst/>
        </dgm:shape>
        <dgm:presOf axis="self"/>
        <dgm:constrLst>
          <dgm:constr type="h" refType="w"/>
          <dgm:constr type="tMarg" refType="primFontSz" fact="0.05"/>
          <dgm:constr type="bMarg" refType="primFontSz" fact="0.05"/>
          <dgm:constr type="lMarg" refType="primFontSz" fact="0.05"/>
          <dgm:constr type="rMarg" refType="primFontSz" fact="0.05"/>
        </dgm:constrLst>
        <dgm:ruleLst>
          <dgm:rule type="primFontSz" val="5" fact="NaN" max="NaN"/>
        </dgm:ruleLst>
      </dgm:layoutNode>
      <dgm:forEach name="Name7" axis="ch">
        <dgm:forEach name="Name8" axis="self" ptType="parTrans">
          <dgm:layoutNode name="Name9">
            <dgm:alg type="conn">
              <dgm:param type="dim" val="1D"/>
              <dgm:param type="begPts" val="auto"/>
              <dgm:param type="endPts" val="auto"/>
              <dgm:param type="begSty" val="noArr"/>
              <dgm:param type="endSty" val="noArr"/>
            </dgm:alg>
            <dgm:shape xmlns:r="http://schemas.openxmlformats.org/officeDocument/2006/relationships" type="conn" r:blip="">
              <dgm:adjLst/>
            </dgm:shape>
            <dgm:presOf axis="self"/>
            <dgm:constrLst>
              <dgm:constr type="connDist"/>
              <dgm:constr type="userA" for="ch" refType="connDist"/>
              <dgm:constr type="w" val="1"/>
              <dgm:constr type="h" val="5"/>
              <dgm:constr type="begPad"/>
              <dgm:constr type="endPad"/>
            </dgm:constrLst>
            <dgm:ruleLst/>
            <dgm:layoutNode name="connTx">
              <dgm:alg type="tx">
                <dgm:param type="autoTxRot" val="grav"/>
              </dgm:alg>
              <dgm:shape xmlns:r="http://schemas.openxmlformats.org/officeDocument/2006/relationships" type="rect" r:blip="" hideGeom="1">
                <dgm:adjLst/>
              </dgm:shape>
              <dgm:presOf axis="self"/>
              <dgm:constrLst>
                <dgm:constr type="userA"/>
                <dgm:constr type="w" refType="userA" fact="0.05"/>
                <dgm:constr type="h" refType="userA" fact="0.05"/>
                <dgm:constr type="lMarg" val="1"/>
                <dgm:constr type="rMarg" val="1"/>
                <dgm:constr type="tMarg"/>
                <dgm:constr type="bMarg"/>
              </dgm:constrLst>
              <dgm:ruleLst>
                <dgm:rule type="w" val="NaN" fact="0.8" max="NaN"/>
                <dgm:rule type="h" val="NaN" fact="1" max="NaN"/>
                <dgm:rule type="primFontSz" val="5" fact="NaN" max="NaN"/>
              </dgm:ruleLst>
            </dgm:layoutNode>
          </dgm:layoutNode>
        </dgm:forEach>
        <dgm:forEach name="Name10" axis="self" ptType="node">
          <dgm:layoutNode name="node" styleLbl="node1">
            <dgm:varLst>
              <dgm:bulletEnabled val="1"/>
            </dgm:varLst>
            <dgm:alg type="tx">
              <dgm:param type="txAnchorVertCh" val="mid"/>
            </dgm:alg>
            <dgm:shape xmlns:r="http://schemas.openxmlformats.org/officeDocument/2006/relationships" type="ellipse" r:blip="">
              <dgm:adjLst/>
            </dgm:shape>
            <dgm:presOf axis="desOrSelf" ptType="node"/>
            <dgm:constrLst>
              <dgm:constr type="h" refType="w"/>
              <dgm:constr type="tMarg" refType="primFontSz" fact="0.05"/>
              <dgm:constr type="bMarg" refType="primFontSz" fact="0.05"/>
              <dgm:constr type="lMarg" refType="primFontSz" fact="0.05"/>
              <dgm:constr type="rMarg" refType="primFontSz" fact="0.05"/>
            </dgm:constrLst>
            <dgm:ruleLst>
              <dgm:rule type="primFontSz" val="5" fact="NaN" max="NaN"/>
            </dgm:ruleLst>
          </dgm:layoutNode>
        </dgm:forEach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3">
  <dgm:title val=""/>
  <dgm:desc val=""/>
  <dgm:catLst>
    <dgm:cat type="3D" pri="11300"/>
  </dgm:catLst>
  <dgm:scene3d>
    <a:camera prst="orthographicFront"/>
    <a:lightRig rig="threePt" dir="t"/>
  </dgm:scene3d>
  <dgm:styleLbl name="node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clear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182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>
        <a:rot lat="0" lon="0" rev="0"/>
      </a:camera>
      <a:lightRig rig="contrasting" dir="t">
        <a:rot lat="0" lon="0" rev="1200000"/>
      </a:lightRig>
    </dgm:scene3d>
    <dgm:sp3d z="10000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>
        <a:rot lat="0" lon="0" rev="0"/>
      </a:camera>
      <a:lightRig rig="contrasting" dir="t">
        <a:rot lat="0" lon="0" rev="1200000"/>
      </a:lightRig>
    </dgm:scene3d>
    <dgm:sp3d z="-300000" prstMaterial="plastic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00800" h="1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>
        <a:rot lat="0" lon="0" rev="0"/>
      </a:camera>
      <a:lightRig rig="contrasting" dir="t">
        <a:rot lat="0" lon="0" rev="1200000"/>
      </a:lightRig>
    </dgm:scene3d>
    <dgm:sp3d z="-1524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1.xml"/><Relationship Id="rId2" Type="http://schemas.openxmlformats.org/officeDocument/2006/relationships/diagramData" Target="../diagrams/data1.xml"/><Relationship Id="rId1" Type="http://schemas.openxmlformats.org/officeDocument/2006/relationships/image" Target="../media/image1.png"/><Relationship Id="rId6" Type="http://schemas.microsoft.com/office/2007/relationships/diagramDrawing" Target="../diagrams/drawing1.xml"/><Relationship Id="rId5" Type="http://schemas.openxmlformats.org/officeDocument/2006/relationships/diagramColors" Target="../diagrams/colors1.xml"/><Relationship Id="rId4" Type="http://schemas.openxmlformats.org/officeDocument/2006/relationships/diagramQuickStyle" Target="../diagrams/quickStyl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odelo de valor'!A1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hyperlink" Target="#'Modelo de valor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odelo de valor'!A1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odelo de valor'!A1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odelo de valor'!A1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'Modelo de valor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60961</xdr:colOff>
      <xdr:row>6</xdr:row>
      <xdr:rowOff>87629</xdr:rowOff>
    </xdr:from>
    <xdr:to>
      <xdr:col>2</xdr:col>
      <xdr:colOff>238126</xdr:colOff>
      <xdr:row>11</xdr:row>
      <xdr:rowOff>133350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51536" y="1173479"/>
          <a:ext cx="967740" cy="950596"/>
        </a:xfrm>
        <a:prstGeom prst="ellipse">
          <a:avLst/>
        </a:prstGeom>
        <a:solidFill>
          <a:srgbClr val="143778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xdr:spPr>
      <xdr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>
              <a:solidFill>
                <a:sysClr val="window" lastClr="FFFFFF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Eficacia </a:t>
          </a:r>
        </a:p>
      </xdr:txBody>
    </xdr:sp>
    <xdr:clientData/>
  </xdr:twoCellAnchor>
  <xdr:twoCellAnchor>
    <xdr:from>
      <xdr:col>1</xdr:col>
      <xdr:colOff>30480</xdr:colOff>
      <xdr:row>12</xdr:row>
      <xdr:rowOff>57149</xdr:rowOff>
    </xdr:from>
    <xdr:to>
      <xdr:col>2</xdr:col>
      <xdr:colOff>209550</xdr:colOff>
      <xdr:row>17</xdr:row>
      <xdr:rowOff>76199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21055" y="2228849"/>
          <a:ext cx="969645" cy="923925"/>
        </a:xfrm>
        <a:prstGeom prst="ellipse">
          <a:avLst/>
        </a:prstGeom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xdr:spPr>
      <xdr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Seguridad  </a:t>
          </a:r>
        </a:p>
      </xdr:txBody>
    </xdr:sp>
    <xdr:clientData/>
  </xdr:twoCellAnchor>
  <xdr:twoCellAnchor>
    <xdr:from>
      <xdr:col>1</xdr:col>
      <xdr:colOff>32385</xdr:colOff>
      <xdr:row>18</xdr:row>
      <xdr:rowOff>95249</xdr:rowOff>
    </xdr:from>
    <xdr:to>
      <xdr:col>2</xdr:col>
      <xdr:colOff>219075</xdr:colOff>
      <xdr:row>23</xdr:row>
      <xdr:rowOff>133349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22960" y="3352799"/>
          <a:ext cx="977265" cy="942975"/>
        </a:xfrm>
        <a:prstGeom prst="ellipse">
          <a:avLst/>
        </a:prstGeom>
        <a:solidFill>
          <a:srgbClr val="4BACC6">
            <a:lumMod val="75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xdr:spPr>
      <xdr:txBody>
        <a:bodyPr spcFirstLastPara="0" vert="horz" wrap="square" lIns="5715" tIns="5715" rIns="5715" bIns="5715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PROs </a:t>
          </a:r>
        </a:p>
      </xdr:txBody>
    </xdr:sp>
    <xdr:clientData/>
  </xdr:twoCellAnchor>
  <xdr:twoCellAnchor>
    <xdr:from>
      <xdr:col>1</xdr:col>
      <xdr:colOff>78105</xdr:colOff>
      <xdr:row>24</xdr:row>
      <xdr:rowOff>171449</xdr:rowOff>
    </xdr:from>
    <xdr:to>
      <xdr:col>2</xdr:col>
      <xdr:colOff>276225</xdr:colOff>
      <xdr:row>30</xdr:row>
      <xdr:rowOff>38100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868680" y="4514849"/>
          <a:ext cx="988695" cy="952501"/>
        </a:xfrm>
        <a:prstGeom prst="ellipse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xdr:spPr>
      <xdr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8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Organizativo</a:t>
          </a:r>
        </a:p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8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  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12</xdr:col>
      <xdr:colOff>408134</xdr:colOff>
      <xdr:row>2</xdr:row>
      <xdr:rowOff>142875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>
          <a:grpSpLocks noChangeAspect="1"/>
        </xdr:cNvGrpSpPr>
      </xdr:nvGrpSpPr>
      <xdr:grpSpPr>
        <a:xfrm>
          <a:off x="0" y="0"/>
          <a:ext cx="10199834" cy="508635"/>
          <a:chOff x="0" y="-124213"/>
          <a:chExt cx="34342895" cy="1761778"/>
        </a:xfrm>
      </xdr:grpSpPr>
      <xdr:sp macro="" textlink="">
        <xdr:nvSpPr>
          <xdr:cNvPr id="9" name="Freeform 4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Aspect="1"/>
          </xdr:cNvSpPr>
        </xdr:nvSpPr>
        <xdr:spPr>
          <a:xfrm>
            <a:off x="349681" y="357269"/>
            <a:ext cx="4876732" cy="802804"/>
          </a:xfrm>
          <a:custGeom>
            <a:avLst/>
            <a:gdLst/>
            <a:ahLst/>
            <a:cxnLst/>
            <a:rect l="l" t="t" r="r" b="b"/>
            <a:pathLst>
              <a:path w="6315740" h="1028700">
                <a:moveTo>
                  <a:pt x="0" y="0"/>
                </a:moveTo>
                <a:lnTo>
                  <a:pt x="6315740" y="0"/>
                </a:lnTo>
                <a:lnTo>
                  <a:pt x="6315740" y="1028700"/>
                </a:lnTo>
                <a:lnTo>
                  <a:pt x="0" y="102870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"/>
            <a:stretch>
              <a:fillRect/>
            </a:stretch>
          </a:blipFill>
        </xdr:spPr>
        <xdr:txBody>
          <a:bodyPr wrap="square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609630"/>
            <a:endParaRPr lang="es-CO" sz="1200">
              <a:solidFill>
                <a:prstClr val="black"/>
              </a:solidFill>
              <a:latin typeface="Calibri"/>
            </a:endParaRPr>
          </a:p>
        </xdr:txBody>
      </xdr:sp>
      <xdr:sp macro="" textlink="">
        <xdr:nvSpPr>
          <xdr:cNvPr id="10" name="TextBox 6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>
            <a:spLocks noChangeAspect="1"/>
          </xdr:cNvSpPr>
        </xdr:nvSpPr>
        <xdr:spPr>
          <a:xfrm>
            <a:off x="6433707" y="-124213"/>
            <a:ext cx="27909188" cy="976566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609630">
              <a:lnSpc>
                <a:spcPts val="3718"/>
              </a:lnSpc>
            </a:pPr>
            <a:r>
              <a:rPr lang="es-CO" sz="1800" spc="249" baseline="0">
                <a:solidFill>
                  <a:srgbClr val="28346D"/>
                </a:solidFill>
                <a:latin typeface="Poppins"/>
                <a:ea typeface="Poppins"/>
                <a:cs typeface="Poppins"/>
                <a:sym typeface="Poppins"/>
              </a:rPr>
              <a:t>Modelo de valor-Edema macular diabético  </a:t>
            </a:r>
          </a:p>
          <a:p>
            <a:pPr algn="ctr" defTabSz="609630">
              <a:lnSpc>
                <a:spcPts val="3718"/>
              </a:lnSpc>
            </a:pPr>
            <a:endParaRPr lang="es-CO" sz="1800" spc="249">
              <a:solidFill>
                <a:srgbClr val="28346D"/>
              </a:solidFill>
              <a:latin typeface="Poppins"/>
              <a:ea typeface="Poppins"/>
              <a:cs typeface="Poppins"/>
              <a:sym typeface="Poppins"/>
            </a:endParaRPr>
          </a:p>
        </xdr:txBody>
      </xdr:sp>
      <xdr:cxnSp macro="">
        <xdr:nvCxnSpPr>
          <xdr:cNvPr id="11" name="Conector recto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 flipV="1">
            <a:off x="0" y="1594193"/>
            <a:ext cx="32536578" cy="43372"/>
          </a:xfrm>
          <a:prstGeom prst="line">
            <a:avLst/>
          </a:prstGeom>
          <a:ln w="76200">
            <a:solidFill>
              <a:srgbClr val="D7DF3D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455295</xdr:colOff>
      <xdr:row>4</xdr:row>
      <xdr:rowOff>24765</xdr:rowOff>
    </xdr:from>
    <xdr:to>
      <xdr:col>12</xdr:col>
      <xdr:colOff>310515</xdr:colOff>
      <xdr:row>32</xdr:row>
      <xdr:rowOff>93345</xdr:rowOff>
    </xdr:to>
    <xdr:graphicFrame macro="">
      <xdr:nvGraphicFramePr>
        <xdr:cNvPr id="12" name="Diagrama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327660</xdr:colOff>
          <xdr:row>11</xdr:row>
          <xdr:rowOff>243840</xdr:rowOff>
        </xdr:from>
        <xdr:to>
          <xdr:col>14</xdr:col>
          <xdr:colOff>617220</xdr:colOff>
          <xdr:row>13</xdr:row>
          <xdr:rowOff>22860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327660</xdr:colOff>
          <xdr:row>12</xdr:row>
          <xdr:rowOff>144780</xdr:rowOff>
        </xdr:from>
        <xdr:to>
          <xdr:col>14</xdr:col>
          <xdr:colOff>617220</xdr:colOff>
          <xdr:row>14</xdr:row>
          <xdr:rowOff>7620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327660</xdr:colOff>
          <xdr:row>13</xdr:row>
          <xdr:rowOff>129540</xdr:rowOff>
        </xdr:from>
        <xdr:to>
          <xdr:col>14</xdr:col>
          <xdr:colOff>617220</xdr:colOff>
          <xdr:row>14</xdr:row>
          <xdr:rowOff>167640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335280</xdr:colOff>
          <xdr:row>14</xdr:row>
          <xdr:rowOff>137160</xdr:rowOff>
        </xdr:from>
        <xdr:to>
          <xdr:col>14</xdr:col>
          <xdr:colOff>624840</xdr:colOff>
          <xdr:row>15</xdr:row>
          <xdr:rowOff>175260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335280</xdr:colOff>
          <xdr:row>15</xdr:row>
          <xdr:rowOff>160020</xdr:rowOff>
        </xdr:from>
        <xdr:to>
          <xdr:col>14</xdr:col>
          <xdr:colOff>624840</xdr:colOff>
          <xdr:row>17</xdr:row>
          <xdr:rowOff>15240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335280</xdr:colOff>
          <xdr:row>16</xdr:row>
          <xdr:rowOff>144780</xdr:rowOff>
        </xdr:from>
        <xdr:to>
          <xdr:col>14</xdr:col>
          <xdr:colOff>624840</xdr:colOff>
          <xdr:row>18</xdr:row>
          <xdr:rowOff>7620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335280</xdr:colOff>
          <xdr:row>17</xdr:row>
          <xdr:rowOff>160020</xdr:rowOff>
        </xdr:from>
        <xdr:to>
          <xdr:col>14</xdr:col>
          <xdr:colOff>624840</xdr:colOff>
          <xdr:row>19</xdr:row>
          <xdr:rowOff>15240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327660</xdr:colOff>
          <xdr:row>18</xdr:row>
          <xdr:rowOff>167640</xdr:rowOff>
        </xdr:from>
        <xdr:to>
          <xdr:col>14</xdr:col>
          <xdr:colOff>617220</xdr:colOff>
          <xdr:row>20</xdr:row>
          <xdr:rowOff>22860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136924</xdr:rowOff>
    </xdr:from>
    <xdr:to>
      <xdr:col>3</xdr:col>
      <xdr:colOff>2446020</xdr:colOff>
      <xdr:row>2</xdr:row>
      <xdr:rowOff>139065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>
          <a:grpSpLocks noChangeAspect="1"/>
        </xdr:cNvGrpSpPr>
      </xdr:nvGrpSpPr>
      <xdr:grpSpPr>
        <a:xfrm>
          <a:off x="0" y="136924"/>
          <a:ext cx="11561445" cy="364091"/>
          <a:chOff x="0" y="357269"/>
          <a:chExt cx="32536578" cy="1280296"/>
        </a:xfrm>
      </xdr:grpSpPr>
      <xdr:sp macro="" textlink="">
        <xdr:nvSpPr>
          <xdr:cNvPr id="3" name="Freeform 4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>
            <a:spLocks noChangeAspect="1"/>
          </xdr:cNvSpPr>
        </xdr:nvSpPr>
        <xdr:spPr>
          <a:xfrm>
            <a:off x="349681" y="357269"/>
            <a:ext cx="4876732" cy="802804"/>
          </a:xfrm>
          <a:custGeom>
            <a:avLst/>
            <a:gdLst/>
            <a:ahLst/>
            <a:cxnLst/>
            <a:rect l="l" t="t" r="r" b="b"/>
            <a:pathLst>
              <a:path w="6315740" h="1028700">
                <a:moveTo>
                  <a:pt x="0" y="0"/>
                </a:moveTo>
                <a:lnTo>
                  <a:pt x="6315740" y="0"/>
                </a:lnTo>
                <a:lnTo>
                  <a:pt x="6315740" y="1028700"/>
                </a:lnTo>
                <a:lnTo>
                  <a:pt x="0" y="102870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"/>
            <a:stretch>
              <a:fillRect/>
            </a:stretch>
          </a:blipFill>
        </xdr:spPr>
        <xdr:txBody>
          <a:bodyPr wrap="square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609630"/>
            <a:endParaRPr lang="es-CO" sz="1200">
              <a:solidFill>
                <a:prstClr val="black"/>
              </a:solidFill>
              <a:latin typeface="Calibri"/>
            </a:endParaRPr>
          </a:p>
        </xdr:txBody>
      </xdr:sp>
      <xdr:cxnSp macro="">
        <xdr:nvCxnSpPr>
          <xdr:cNvPr id="5" name="Conector recto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 flipV="1">
            <a:off x="0" y="1594193"/>
            <a:ext cx="32536578" cy="43372"/>
          </a:xfrm>
          <a:prstGeom prst="line">
            <a:avLst/>
          </a:prstGeom>
          <a:ln w="76200">
            <a:solidFill>
              <a:srgbClr val="D7DF3D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4</xdr:col>
      <xdr:colOff>238125</xdr:colOff>
      <xdr:row>3</xdr:row>
      <xdr:rowOff>228600</xdr:rowOff>
    </xdr:from>
    <xdr:to>
      <xdr:col>4</xdr:col>
      <xdr:colOff>1152525</xdr:colOff>
      <xdr:row>4</xdr:row>
      <xdr:rowOff>895350</xdr:rowOff>
    </xdr:to>
    <xdr:pic>
      <xdr:nvPicPr>
        <xdr:cNvPr id="6" name="Gráfico 5" descr="Hogar con rellen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268200" y="771525"/>
          <a:ext cx="914400" cy="914400"/>
        </a:xfrm>
        <a:prstGeom prst="rect">
          <a:avLst/>
        </a:prstGeom>
      </xdr:spPr>
    </xdr:pic>
    <xdr:clientData/>
  </xdr:twoCellAnchor>
  <xdr:twoCellAnchor>
    <xdr:from>
      <xdr:col>0</xdr:col>
      <xdr:colOff>1714500</xdr:colOff>
      <xdr:row>0</xdr:row>
      <xdr:rowOff>0</xdr:rowOff>
    </xdr:from>
    <xdr:to>
      <xdr:col>3</xdr:col>
      <xdr:colOff>888099</xdr:colOff>
      <xdr:row>1</xdr:row>
      <xdr:rowOff>100965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>
          <a:spLocks noChangeAspect="1"/>
        </xdr:cNvSpPr>
      </xdr:nvSpPr>
      <xdr:spPr>
        <a:xfrm>
          <a:off x="1714500" y="0"/>
          <a:ext cx="8289024" cy="281940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609630">
            <a:lnSpc>
              <a:spcPts val="3718"/>
            </a:lnSpc>
          </a:pPr>
          <a:r>
            <a:rPr lang="es-CO" sz="1800" spc="249" baseline="0">
              <a:solidFill>
                <a:srgbClr val="28346D"/>
              </a:solidFill>
              <a:latin typeface="Poppins"/>
              <a:ea typeface="Poppins"/>
              <a:cs typeface="Poppins"/>
              <a:sym typeface="Poppins"/>
            </a:rPr>
            <a:t>Modelo de valor-Edema macular diabético  </a:t>
          </a:r>
        </a:p>
        <a:p>
          <a:pPr algn="ctr" defTabSz="609630">
            <a:lnSpc>
              <a:spcPts val="3718"/>
            </a:lnSpc>
          </a:pPr>
          <a:endParaRPr lang="es-CO" sz="1800" spc="249">
            <a:solidFill>
              <a:srgbClr val="28346D"/>
            </a:solidFill>
            <a:latin typeface="Poppins"/>
            <a:ea typeface="Poppins"/>
            <a:cs typeface="Poppins"/>
            <a:sym typeface="Poppin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2457450</xdr:colOff>
      <xdr:row>36</xdr:row>
      <xdr:rowOff>3810</xdr:rowOff>
    </xdr:from>
    <xdr:to>
      <xdr:col>2</xdr:col>
      <xdr:colOff>939800</xdr:colOff>
      <xdr:row>49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2035628</xdr:colOff>
      <xdr:row>32</xdr:row>
      <xdr:rowOff>141513</xdr:rowOff>
    </xdr:from>
    <xdr:to>
      <xdr:col>11</xdr:col>
      <xdr:colOff>185057</xdr:colOff>
      <xdr:row>50</xdr:row>
      <xdr:rowOff>10884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152400</xdr:colOff>
      <xdr:row>3</xdr:row>
      <xdr:rowOff>10334</xdr:rowOff>
    </xdr:from>
    <xdr:to>
      <xdr:col>10</xdr:col>
      <xdr:colOff>1165332</xdr:colOff>
      <xdr:row>7</xdr:row>
      <xdr:rowOff>96520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>
          <a:grpSpLocks noChangeAspect="1"/>
        </xdr:cNvGrpSpPr>
      </xdr:nvGrpSpPr>
      <xdr:grpSpPr>
        <a:xfrm>
          <a:off x="152400" y="565505"/>
          <a:ext cx="21445418" cy="826415"/>
          <a:chOff x="0" y="357269"/>
          <a:chExt cx="32536578" cy="1280296"/>
        </a:xfrm>
      </xdr:grpSpPr>
      <xdr:sp macro="" textlink="">
        <xdr:nvSpPr>
          <xdr:cNvPr id="7" name="Freeform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Aspect="1"/>
          </xdr:cNvSpPr>
        </xdr:nvSpPr>
        <xdr:spPr>
          <a:xfrm>
            <a:off x="349681" y="357269"/>
            <a:ext cx="4876732" cy="802804"/>
          </a:xfrm>
          <a:custGeom>
            <a:avLst/>
            <a:gdLst/>
            <a:ahLst/>
            <a:cxnLst/>
            <a:rect l="l" t="t" r="r" b="b"/>
            <a:pathLst>
              <a:path w="6315740" h="1028700">
                <a:moveTo>
                  <a:pt x="0" y="0"/>
                </a:moveTo>
                <a:lnTo>
                  <a:pt x="6315740" y="0"/>
                </a:lnTo>
                <a:lnTo>
                  <a:pt x="6315740" y="1028700"/>
                </a:lnTo>
                <a:lnTo>
                  <a:pt x="0" y="102870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3"/>
            <a:stretch>
              <a:fillRect/>
            </a:stretch>
          </a:blipFill>
        </xdr:spPr>
        <xdr:txBody>
          <a:bodyPr wrap="square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609630"/>
            <a:endParaRPr lang="es-CO" sz="1200">
              <a:solidFill>
                <a:prstClr val="black"/>
              </a:solidFill>
              <a:latin typeface="Calibri"/>
            </a:endParaRPr>
          </a:p>
        </xdr:txBody>
      </xdr:sp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CxnSpPr/>
        </xdr:nvCxnSpPr>
        <xdr:spPr>
          <a:xfrm flipV="1">
            <a:off x="0" y="1594193"/>
            <a:ext cx="32536578" cy="43372"/>
          </a:xfrm>
          <a:prstGeom prst="line">
            <a:avLst/>
          </a:prstGeom>
          <a:ln w="76200">
            <a:solidFill>
              <a:srgbClr val="D7DF3D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472440</xdr:colOff>
      <xdr:row>7</xdr:row>
      <xdr:rowOff>167640</xdr:rowOff>
    </xdr:from>
    <xdr:to>
      <xdr:col>6</xdr:col>
      <xdr:colOff>1386840</xdr:colOff>
      <xdr:row>11</xdr:row>
      <xdr:rowOff>0</xdr:rowOff>
    </xdr:to>
    <xdr:pic>
      <xdr:nvPicPr>
        <xdr:cNvPr id="9" name="Gráfico 8" descr="Hogar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24760" y="1447800"/>
          <a:ext cx="914400" cy="899160"/>
        </a:xfrm>
        <a:prstGeom prst="rect">
          <a:avLst/>
        </a:prstGeom>
      </xdr:spPr>
    </xdr:pic>
    <xdr:clientData/>
  </xdr:twoCellAnchor>
  <xdr:twoCellAnchor>
    <xdr:from>
      <xdr:col>3</xdr:col>
      <xdr:colOff>1393372</xdr:colOff>
      <xdr:row>1</xdr:row>
      <xdr:rowOff>64762</xdr:rowOff>
    </xdr:from>
    <xdr:to>
      <xdr:col>6</xdr:col>
      <xdr:colOff>37653</xdr:colOff>
      <xdr:row>2</xdr:row>
      <xdr:rowOff>161645</xdr:rowOff>
    </xdr:to>
    <xdr:sp macro="" textlink="">
      <xdr:nvSpPr>
        <xdr:cNvPr id="11" name="TextBox 6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>
          <a:spLocks noChangeAspect="1"/>
        </xdr:cNvSpPr>
      </xdr:nvSpPr>
      <xdr:spPr>
        <a:xfrm>
          <a:off x="6487886" y="249819"/>
          <a:ext cx="8289024" cy="281940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609630">
            <a:lnSpc>
              <a:spcPts val="3718"/>
            </a:lnSpc>
          </a:pPr>
          <a:r>
            <a:rPr lang="es-CO" sz="3600" spc="249" baseline="0">
              <a:solidFill>
                <a:srgbClr val="28346D"/>
              </a:solidFill>
              <a:latin typeface="Poppins"/>
              <a:ea typeface="Poppins"/>
              <a:cs typeface="Poppins"/>
              <a:sym typeface="Poppins"/>
            </a:rPr>
            <a:t>Modelo de valor-Edema macular diabético  </a:t>
          </a:r>
        </a:p>
        <a:p>
          <a:pPr algn="ctr" defTabSz="609630">
            <a:lnSpc>
              <a:spcPts val="3718"/>
            </a:lnSpc>
          </a:pPr>
          <a:endParaRPr lang="es-CO" sz="3600" spc="249">
            <a:solidFill>
              <a:srgbClr val="28346D"/>
            </a:solidFill>
            <a:latin typeface="Poppins"/>
            <a:ea typeface="Poppins"/>
            <a:cs typeface="Poppins"/>
            <a:sym typeface="Poppin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</xdr:colOff>
      <xdr:row>1</xdr:row>
      <xdr:rowOff>142785</xdr:rowOff>
    </xdr:from>
    <xdr:to>
      <xdr:col>59</xdr:col>
      <xdr:colOff>74023</xdr:colOff>
      <xdr:row>6</xdr:row>
      <xdr:rowOff>38100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>
          <a:grpSpLocks noChangeAspect="1"/>
        </xdr:cNvGrpSpPr>
      </xdr:nvGrpSpPr>
      <xdr:grpSpPr>
        <a:xfrm>
          <a:off x="28575" y="327842"/>
          <a:ext cx="38853019" cy="820601"/>
          <a:chOff x="0" y="357269"/>
          <a:chExt cx="32536578" cy="1280296"/>
        </a:xfrm>
      </xdr:grpSpPr>
      <xdr:sp macro="" textlink="">
        <xdr:nvSpPr>
          <xdr:cNvPr id="3" name="Freeform 4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>
            <a:spLocks noChangeAspect="1"/>
          </xdr:cNvSpPr>
        </xdr:nvSpPr>
        <xdr:spPr>
          <a:xfrm>
            <a:off x="349681" y="357269"/>
            <a:ext cx="4876732" cy="802804"/>
          </a:xfrm>
          <a:custGeom>
            <a:avLst/>
            <a:gdLst/>
            <a:ahLst/>
            <a:cxnLst/>
            <a:rect l="l" t="t" r="r" b="b"/>
            <a:pathLst>
              <a:path w="6315740" h="1028700">
                <a:moveTo>
                  <a:pt x="0" y="0"/>
                </a:moveTo>
                <a:lnTo>
                  <a:pt x="6315740" y="0"/>
                </a:lnTo>
                <a:lnTo>
                  <a:pt x="6315740" y="1028700"/>
                </a:lnTo>
                <a:lnTo>
                  <a:pt x="0" y="102870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"/>
            <a:stretch>
              <a:fillRect/>
            </a:stretch>
          </a:blipFill>
        </xdr:spPr>
        <xdr:txBody>
          <a:bodyPr wrap="square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609630"/>
            <a:endParaRPr lang="es-CO" sz="1200">
              <a:solidFill>
                <a:prstClr val="black"/>
              </a:solidFill>
              <a:latin typeface="Calibri"/>
            </a:endParaRPr>
          </a:p>
        </xdr:txBody>
      </xdr:sp>
      <xdr:cxnSp macro="">
        <xdr:nvCxnSpPr>
          <xdr:cNvPr id="5" name="Conector recto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 flipV="1">
            <a:off x="0" y="1594193"/>
            <a:ext cx="32536578" cy="43372"/>
          </a:xfrm>
          <a:prstGeom prst="line">
            <a:avLst/>
          </a:prstGeom>
          <a:ln w="76200">
            <a:solidFill>
              <a:srgbClr val="D7DF3D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685801</xdr:colOff>
      <xdr:row>0</xdr:row>
      <xdr:rowOff>65316</xdr:rowOff>
    </xdr:from>
    <xdr:to>
      <xdr:col>7</xdr:col>
      <xdr:colOff>10887</xdr:colOff>
      <xdr:row>3</xdr:row>
      <xdr:rowOff>137749</xdr:rowOff>
    </xdr:to>
    <xdr:pic>
      <xdr:nvPicPr>
        <xdr:cNvPr id="6" name="Gráfico 5" descr="Hogar con rellen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06887" y="65316"/>
          <a:ext cx="827314" cy="627604"/>
        </a:xfrm>
        <a:prstGeom prst="rect">
          <a:avLst/>
        </a:prstGeom>
      </xdr:spPr>
    </xdr:pic>
    <xdr:clientData/>
  </xdr:twoCellAnchor>
  <xdr:twoCellAnchor>
    <xdr:from>
      <xdr:col>45</xdr:col>
      <xdr:colOff>206829</xdr:colOff>
      <xdr:row>1</xdr:row>
      <xdr:rowOff>32657</xdr:rowOff>
    </xdr:from>
    <xdr:to>
      <xdr:col>53</xdr:col>
      <xdr:colOff>413658</xdr:colOff>
      <xdr:row>5</xdr:row>
      <xdr:rowOff>93763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spect="1"/>
        </xdr:cNvSpPr>
      </xdr:nvSpPr>
      <xdr:spPr>
        <a:xfrm>
          <a:off x="7130143" y="217714"/>
          <a:ext cx="1502229" cy="801335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609630">
            <a:lnSpc>
              <a:spcPts val="3718"/>
            </a:lnSpc>
          </a:pPr>
          <a:r>
            <a:rPr lang="es-CO" sz="1800" spc="249" baseline="0">
              <a:solidFill>
                <a:srgbClr val="28346D"/>
              </a:solidFill>
              <a:latin typeface="Poppins"/>
              <a:ea typeface="Poppins"/>
              <a:cs typeface="Poppins"/>
              <a:sym typeface="Poppins"/>
            </a:rPr>
            <a:t>Modelo de valor-Edema macular diabético  </a:t>
          </a:r>
        </a:p>
        <a:p>
          <a:pPr algn="ctr" defTabSz="609630">
            <a:lnSpc>
              <a:spcPts val="3718"/>
            </a:lnSpc>
          </a:pPr>
          <a:endParaRPr lang="es-CO" sz="1800" spc="249">
            <a:solidFill>
              <a:srgbClr val="28346D"/>
            </a:solidFill>
            <a:latin typeface="Poppins"/>
            <a:ea typeface="Poppins"/>
            <a:cs typeface="Poppins"/>
            <a:sym typeface="Poppin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39</xdr:row>
          <xdr:rowOff>152400</xdr:rowOff>
        </xdr:from>
        <xdr:to>
          <xdr:col>0</xdr:col>
          <xdr:colOff>2788920</xdr:colOff>
          <xdr:row>42</xdr:row>
          <xdr:rowOff>15240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800" b="1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  <a:p>
              <a:pPr algn="ctr" rtl="0">
                <a:defRPr sz="1000"/>
              </a:pPr>
              <a:endParaRPr lang="es-ES" sz="1800" b="1" i="0" u="none" strike="noStrike" baseline="0">
                <a:solidFill>
                  <a:srgbClr val="00008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20014</xdr:rowOff>
    </xdr:from>
    <xdr:to>
      <xdr:col>17</xdr:col>
      <xdr:colOff>521154</xdr:colOff>
      <xdr:row>4</xdr:row>
      <xdr:rowOff>10884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>
          <a:grpSpLocks noChangeAspect="1"/>
        </xdr:cNvGrpSpPr>
      </xdr:nvGrpSpPr>
      <xdr:grpSpPr>
        <a:xfrm>
          <a:off x="0" y="200989"/>
          <a:ext cx="17789979" cy="533795"/>
          <a:chOff x="0" y="357269"/>
          <a:chExt cx="32536578" cy="1280296"/>
        </a:xfrm>
      </xdr:grpSpPr>
      <xdr:sp macro="" textlink="">
        <xdr:nvSpPr>
          <xdr:cNvPr id="3" name="Freeform 4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>
            <a:spLocks noChangeAspect="1"/>
          </xdr:cNvSpPr>
        </xdr:nvSpPr>
        <xdr:spPr>
          <a:xfrm>
            <a:off x="349681" y="357269"/>
            <a:ext cx="4876732" cy="802804"/>
          </a:xfrm>
          <a:custGeom>
            <a:avLst/>
            <a:gdLst/>
            <a:ahLst/>
            <a:cxnLst/>
            <a:rect l="l" t="t" r="r" b="b"/>
            <a:pathLst>
              <a:path w="6315740" h="1028700">
                <a:moveTo>
                  <a:pt x="0" y="0"/>
                </a:moveTo>
                <a:lnTo>
                  <a:pt x="6315740" y="0"/>
                </a:lnTo>
                <a:lnTo>
                  <a:pt x="6315740" y="1028700"/>
                </a:lnTo>
                <a:lnTo>
                  <a:pt x="0" y="102870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"/>
            <a:stretch>
              <a:fillRect/>
            </a:stretch>
          </a:blipFill>
        </xdr:spPr>
        <xdr:txBody>
          <a:bodyPr wrap="square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609630"/>
            <a:endParaRPr lang="es-CO" sz="1200">
              <a:solidFill>
                <a:prstClr val="black"/>
              </a:solidFill>
              <a:latin typeface="Calibri"/>
            </a:endParaRPr>
          </a:p>
        </xdr:txBody>
      </xdr:sp>
      <xdr:cxnSp macro="">
        <xdr:nvCxnSpPr>
          <xdr:cNvPr id="5" name="Conector recto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 flipV="1">
            <a:off x="0" y="1594193"/>
            <a:ext cx="32536578" cy="43372"/>
          </a:xfrm>
          <a:prstGeom prst="line">
            <a:avLst/>
          </a:prstGeom>
          <a:ln w="76200">
            <a:solidFill>
              <a:srgbClr val="D7DF3D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4</xdr:col>
      <xdr:colOff>1099458</xdr:colOff>
      <xdr:row>0</xdr:row>
      <xdr:rowOff>0</xdr:rowOff>
    </xdr:from>
    <xdr:to>
      <xdr:col>5</xdr:col>
      <xdr:colOff>79830</xdr:colOff>
      <xdr:row>3</xdr:row>
      <xdr:rowOff>97972</xdr:rowOff>
    </xdr:to>
    <xdr:pic>
      <xdr:nvPicPr>
        <xdr:cNvPr id="6" name="Gráfico 5" descr="Hogar con rellen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584372" y="0"/>
          <a:ext cx="885372" cy="653143"/>
        </a:xfrm>
        <a:prstGeom prst="rect">
          <a:avLst/>
        </a:prstGeom>
      </xdr:spPr>
    </xdr:pic>
    <xdr:clientData/>
  </xdr:twoCellAnchor>
  <xdr:twoCellAnchor>
    <xdr:from>
      <xdr:col>5</xdr:col>
      <xdr:colOff>609600</xdr:colOff>
      <xdr:row>0</xdr:row>
      <xdr:rowOff>38100</xdr:rowOff>
    </xdr:from>
    <xdr:to>
      <xdr:col>12</xdr:col>
      <xdr:colOff>1373874</xdr:colOff>
      <xdr:row>1</xdr:row>
      <xdr:rowOff>139065</xdr:rowOff>
    </xdr:to>
    <xdr:sp macro="" textlink="">
      <xdr:nvSpPr>
        <xdr:cNvPr id="8" name="TextBox 6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>
          <a:spLocks noChangeAspect="1"/>
        </xdr:cNvSpPr>
      </xdr:nvSpPr>
      <xdr:spPr>
        <a:xfrm>
          <a:off x="6991350" y="38100"/>
          <a:ext cx="8289024" cy="281940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609630">
            <a:lnSpc>
              <a:spcPts val="3718"/>
            </a:lnSpc>
          </a:pPr>
          <a:r>
            <a:rPr lang="es-CO" sz="2400" spc="249" baseline="0">
              <a:solidFill>
                <a:srgbClr val="28346D"/>
              </a:solidFill>
              <a:latin typeface="Poppins"/>
              <a:ea typeface="Poppins"/>
              <a:cs typeface="Poppins"/>
              <a:sym typeface="Poppins"/>
            </a:rPr>
            <a:t>Modelo de valor-Edema macular diabético  </a:t>
          </a:r>
        </a:p>
        <a:p>
          <a:pPr algn="ctr" defTabSz="609630">
            <a:lnSpc>
              <a:spcPts val="3718"/>
            </a:lnSpc>
          </a:pPr>
          <a:endParaRPr lang="es-CO" sz="2400" spc="249">
            <a:solidFill>
              <a:srgbClr val="28346D"/>
            </a:solidFill>
            <a:latin typeface="Poppins"/>
            <a:ea typeface="Poppins"/>
            <a:cs typeface="Poppins"/>
            <a:sym typeface="Poppin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106208</xdr:rowOff>
    </xdr:from>
    <xdr:to>
      <xdr:col>3</xdr:col>
      <xdr:colOff>1318261</xdr:colOff>
      <xdr:row>3</xdr:row>
      <xdr:rowOff>121920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>
          <a:grpSpLocks noChangeAspect="1"/>
        </xdr:cNvGrpSpPr>
      </xdr:nvGrpSpPr>
      <xdr:grpSpPr>
        <a:xfrm>
          <a:off x="1" y="106208"/>
          <a:ext cx="8892540" cy="564352"/>
          <a:chOff x="0" y="357269"/>
          <a:chExt cx="32536578" cy="1280296"/>
        </a:xfrm>
      </xdr:grpSpPr>
      <xdr:sp macro="" textlink="">
        <xdr:nvSpPr>
          <xdr:cNvPr id="3" name="Freeform 4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>
            <a:spLocks noChangeAspect="1"/>
          </xdr:cNvSpPr>
        </xdr:nvSpPr>
        <xdr:spPr>
          <a:xfrm>
            <a:off x="349681" y="357269"/>
            <a:ext cx="4876732" cy="802804"/>
          </a:xfrm>
          <a:custGeom>
            <a:avLst/>
            <a:gdLst/>
            <a:ahLst/>
            <a:cxnLst/>
            <a:rect l="l" t="t" r="r" b="b"/>
            <a:pathLst>
              <a:path w="6315740" h="1028700">
                <a:moveTo>
                  <a:pt x="0" y="0"/>
                </a:moveTo>
                <a:lnTo>
                  <a:pt x="6315740" y="0"/>
                </a:lnTo>
                <a:lnTo>
                  <a:pt x="6315740" y="1028700"/>
                </a:lnTo>
                <a:lnTo>
                  <a:pt x="0" y="102870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"/>
            <a:stretch>
              <a:fillRect/>
            </a:stretch>
          </a:blipFill>
        </xdr:spPr>
        <xdr:txBody>
          <a:bodyPr wrap="square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609630"/>
            <a:endParaRPr lang="es-CO" sz="1200">
              <a:solidFill>
                <a:prstClr val="black"/>
              </a:solidFill>
              <a:latin typeface="Calibri"/>
            </a:endParaRPr>
          </a:p>
        </xdr:txBody>
      </xdr:sp>
      <xdr:cxnSp macro="">
        <xdr:nvCxnSpPr>
          <xdr:cNvPr id="4" name="Conector recto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CxnSpPr/>
        </xdr:nvCxnSpPr>
        <xdr:spPr>
          <a:xfrm flipV="1">
            <a:off x="0" y="1594193"/>
            <a:ext cx="32536578" cy="43372"/>
          </a:xfrm>
          <a:prstGeom prst="line">
            <a:avLst/>
          </a:prstGeom>
          <a:ln w="76200">
            <a:solidFill>
              <a:srgbClr val="D7DF3D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</xdr:colOff>
      <xdr:row>1</xdr:row>
      <xdr:rowOff>0</xdr:rowOff>
    </xdr:from>
    <xdr:to>
      <xdr:col>3</xdr:col>
      <xdr:colOff>1226343</xdr:colOff>
      <xdr:row>1</xdr:row>
      <xdr:rowOff>152400</xdr:rowOff>
    </xdr:to>
    <xdr:sp macro="" textlink="">
      <xdr:nvSpPr>
        <xdr:cNvPr id="5" name="TextBox 6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>
          <a:spLocks noChangeAspect="1"/>
        </xdr:cNvSpPr>
      </xdr:nvSpPr>
      <xdr:spPr>
        <a:xfrm>
          <a:off x="1905001" y="182880"/>
          <a:ext cx="6895622" cy="152400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609630">
            <a:lnSpc>
              <a:spcPts val="3718"/>
            </a:lnSpc>
          </a:pPr>
          <a:r>
            <a:rPr lang="es-CO" sz="1400" spc="249" baseline="0">
              <a:solidFill>
                <a:srgbClr val="28346D"/>
              </a:solidFill>
              <a:latin typeface="Poppins"/>
              <a:ea typeface="Poppins"/>
              <a:cs typeface="Poppins"/>
              <a:sym typeface="Poppins"/>
            </a:rPr>
            <a:t>Parametros de calificación </a:t>
          </a:r>
        </a:p>
        <a:p>
          <a:pPr algn="ctr" defTabSz="609630">
            <a:lnSpc>
              <a:spcPts val="3718"/>
            </a:lnSpc>
          </a:pPr>
          <a:endParaRPr lang="es-CO" sz="1400" spc="249">
            <a:solidFill>
              <a:srgbClr val="28346D"/>
            </a:solidFill>
            <a:latin typeface="Poppins"/>
            <a:ea typeface="Poppins"/>
            <a:cs typeface="Poppins"/>
            <a:sym typeface="Poppin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24299</xdr:rowOff>
    </xdr:from>
    <xdr:to>
      <xdr:col>9</xdr:col>
      <xdr:colOff>397329</xdr:colOff>
      <xdr:row>4</xdr:row>
      <xdr:rowOff>27213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>
          <a:grpSpLocks noChangeAspect="1"/>
        </xdr:cNvGrpSpPr>
      </xdr:nvGrpSpPr>
      <xdr:grpSpPr>
        <a:xfrm>
          <a:off x="0" y="205274"/>
          <a:ext cx="17809029" cy="545839"/>
          <a:chOff x="0" y="357269"/>
          <a:chExt cx="32536578" cy="1280296"/>
        </a:xfrm>
      </xdr:grpSpPr>
      <xdr:sp macro="" textlink="">
        <xdr:nvSpPr>
          <xdr:cNvPr id="3" name="Freeform 4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>
            <a:spLocks noChangeAspect="1"/>
          </xdr:cNvSpPr>
        </xdr:nvSpPr>
        <xdr:spPr>
          <a:xfrm>
            <a:off x="349681" y="357269"/>
            <a:ext cx="4876732" cy="802804"/>
          </a:xfrm>
          <a:custGeom>
            <a:avLst/>
            <a:gdLst/>
            <a:ahLst/>
            <a:cxnLst/>
            <a:rect l="l" t="t" r="r" b="b"/>
            <a:pathLst>
              <a:path w="6315740" h="1028700">
                <a:moveTo>
                  <a:pt x="0" y="0"/>
                </a:moveTo>
                <a:lnTo>
                  <a:pt x="6315740" y="0"/>
                </a:lnTo>
                <a:lnTo>
                  <a:pt x="6315740" y="1028700"/>
                </a:lnTo>
                <a:lnTo>
                  <a:pt x="0" y="102870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"/>
            <a:stretch>
              <a:fillRect/>
            </a:stretch>
          </a:blipFill>
        </xdr:spPr>
        <xdr:txBody>
          <a:bodyPr wrap="square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609630"/>
            <a:endParaRPr lang="es-CO" sz="1200">
              <a:solidFill>
                <a:prstClr val="black"/>
              </a:solidFill>
              <a:latin typeface="Calibri"/>
            </a:endParaRPr>
          </a:p>
        </xdr:txBody>
      </xdr:sp>
      <xdr:cxnSp macro="">
        <xdr:nvCxnSpPr>
          <xdr:cNvPr id="5" name="Conector recto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 flipV="1">
            <a:off x="0" y="1594193"/>
            <a:ext cx="32536578" cy="43372"/>
          </a:xfrm>
          <a:prstGeom prst="line">
            <a:avLst/>
          </a:prstGeom>
          <a:ln w="76200">
            <a:solidFill>
              <a:srgbClr val="D7DF3D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4</xdr:col>
      <xdr:colOff>771526</xdr:colOff>
      <xdr:row>4</xdr:row>
      <xdr:rowOff>133350</xdr:rowOff>
    </xdr:from>
    <xdr:to>
      <xdr:col>5</xdr:col>
      <xdr:colOff>78106</xdr:colOff>
      <xdr:row>7</xdr:row>
      <xdr:rowOff>28575</xdr:rowOff>
    </xdr:to>
    <xdr:pic>
      <xdr:nvPicPr>
        <xdr:cNvPr id="6" name="Gráfico 5" descr="Hogar con rellen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267576" y="857250"/>
          <a:ext cx="697230" cy="514350"/>
        </a:xfrm>
        <a:prstGeom prst="rect">
          <a:avLst/>
        </a:prstGeom>
      </xdr:spPr>
    </xdr:pic>
    <xdr:clientData/>
  </xdr:twoCellAnchor>
  <xdr:twoCellAnchor>
    <xdr:from>
      <xdr:col>3</xdr:col>
      <xdr:colOff>600075</xdr:colOff>
      <xdr:row>0</xdr:row>
      <xdr:rowOff>62399</xdr:rowOff>
    </xdr:from>
    <xdr:to>
      <xdr:col>7</xdr:col>
      <xdr:colOff>430899</xdr:colOff>
      <xdr:row>1</xdr:row>
      <xdr:rowOff>163364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>
          <a:spLocks noChangeAspect="1"/>
        </xdr:cNvSpPr>
      </xdr:nvSpPr>
      <xdr:spPr>
        <a:xfrm>
          <a:off x="5705475" y="62399"/>
          <a:ext cx="8289024" cy="281940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609630">
            <a:lnSpc>
              <a:spcPts val="3718"/>
            </a:lnSpc>
          </a:pPr>
          <a:r>
            <a:rPr lang="es-CO" sz="2000" spc="249" baseline="0">
              <a:solidFill>
                <a:srgbClr val="28346D"/>
              </a:solidFill>
              <a:latin typeface="Poppins"/>
              <a:ea typeface="Poppins"/>
              <a:cs typeface="Poppins"/>
              <a:sym typeface="Poppins"/>
            </a:rPr>
            <a:t>Modelo de valor-Edema macular diabético  </a:t>
          </a:r>
        </a:p>
        <a:p>
          <a:pPr algn="ctr" defTabSz="609630">
            <a:lnSpc>
              <a:spcPts val="3718"/>
            </a:lnSpc>
          </a:pPr>
          <a:endParaRPr lang="es-CO" sz="2000" spc="249">
            <a:solidFill>
              <a:srgbClr val="28346D"/>
            </a:solidFill>
            <a:latin typeface="Poppins"/>
            <a:ea typeface="Poppins"/>
            <a:cs typeface="Poppins"/>
            <a:sym typeface="Poppin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556260</xdr:colOff>
      <xdr:row>1</xdr:row>
      <xdr:rowOff>106680</xdr:rowOff>
    </xdr:from>
    <xdr:to>
      <xdr:col>3</xdr:col>
      <xdr:colOff>1320631</xdr:colOff>
      <xdr:row>4</xdr:row>
      <xdr:rowOff>45720</xdr:rowOff>
    </xdr:to>
    <xdr:pic>
      <xdr:nvPicPr>
        <xdr:cNvPr id="2" name="Gráfico 1" descr="Hogar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43600" y="289560"/>
          <a:ext cx="764371" cy="56388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JAIR%20SOTO/Desktop/17062026MV_naMD_V4_VF_abierta.xlsm" TargetMode="External"/><Relationship Id="rId1" Type="http://schemas.openxmlformats.org/officeDocument/2006/relationships/externalLinkPath" Target="/Users/JAIR%20SOTO/Desktop/17062026MV_naMD_V4_VF_abierta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JAIR%20SOTO/Desktop/Poryectame/Ranibizumab/17062026MV_naMD_V4_VF_1706.xlsm" TargetMode="External"/><Relationship Id="rId1" Type="http://schemas.openxmlformats.org/officeDocument/2006/relationships/externalLinkPath" Target="/Users/JAIR%20SOTO/Desktop/Poryectame/Ranibizumab/17062026MV_naMD_V4_VF_1706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JAIR%20SOTO/Downloads/12062026MV_naMD_V3.xlsx" TargetMode="External"/><Relationship Id="rId1" Type="http://schemas.openxmlformats.org/officeDocument/2006/relationships/externalLinkPath" Target="/Users/JAIR%20SOTO/Downloads/12062026MV_naMD_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_Listas"/>
      <sheetName val="Modelo de valor"/>
      <sheetName val="Definiciones "/>
      <sheetName val="Parametros"/>
      <sheetName val="MCDA Advanced Dashboard"/>
      <sheetName val="Resumen"/>
      <sheetName val="Input_costo2"/>
      <sheetName val="Inputs_nAMD "/>
      <sheetName val="Referencias"/>
      <sheetName val="T_results"/>
      <sheetName val="Matriz_Medicamentos"/>
      <sheetName val="Matriz_Resultados_Crudos"/>
      <sheetName val="Equivalencia"/>
      <sheetName val="ChartData"/>
    </sheetNames>
    <sheetDataSet>
      <sheetData sheetId="0">
        <row r="1">
          <cell r="A1" t="str">
            <v>Aflibercept 2mg T&amp;E</v>
          </cell>
        </row>
        <row r="2">
          <cell r="A2" t="str">
            <v>Ranibizumab  0.5 mg  T&amp;E</v>
          </cell>
        </row>
        <row r="3">
          <cell r="A3" t="str">
            <v>Aflibercept 2mg (q8)</v>
          </cell>
        </row>
        <row r="4">
          <cell r="A4" t="str">
            <v>Ranibizumab  0.5 mg  (q4)</v>
          </cell>
        </row>
        <row r="5">
          <cell r="A5" t="str">
            <v>Aflibercept 8mg (q16)</v>
          </cell>
        </row>
        <row r="6">
          <cell r="A6" t="str">
            <v>Faricimab 6mg (q16)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4">
          <cell r="E4" t="e">
            <v>#VALUE!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_Listas"/>
      <sheetName val="Modelo de valor"/>
      <sheetName val="Definiciones "/>
      <sheetName val="Parametros"/>
      <sheetName val="MCDA Advanced Dashboard"/>
      <sheetName val="Resumen"/>
      <sheetName val="Inputs_nAMD "/>
      <sheetName val="Input_costo2"/>
      <sheetName val="T_results"/>
      <sheetName val="Matriz_Medicamentos"/>
      <sheetName val="Matriz_Resultados_Crudos"/>
      <sheetName val="Equivalencia"/>
      <sheetName val="ChartData"/>
    </sheetNames>
    <sheetDataSet>
      <sheetData sheetId="0">
        <row r="1">
          <cell r="A1" t="str">
            <v>Aflibercept 2mg T&amp;E</v>
          </cell>
        </row>
        <row r="2">
          <cell r="A2" t="str">
            <v>Ranibizumab  0.5 mg  T&amp;E</v>
          </cell>
        </row>
        <row r="3">
          <cell r="A3" t="str">
            <v>Aflibercept 2mg (q4)</v>
          </cell>
        </row>
        <row r="4">
          <cell r="A4" t="str">
            <v>Aflibercept 2mg (q8)</v>
          </cell>
        </row>
        <row r="5">
          <cell r="A5" t="str">
            <v>Ranibizumab  0.5 mg  (q4)</v>
          </cell>
        </row>
        <row r="6">
          <cell r="A6" t="str">
            <v>Aflibercept 8mg (q16)</v>
          </cell>
        </row>
        <row r="7">
          <cell r="A7" t="str">
            <v>Aflibercept 8mg (q12)</v>
          </cell>
        </row>
        <row r="8">
          <cell r="A8" t="str">
            <v>Faricimab 6mg (q16)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>
        <row r="1">
          <cell r="A1" t="str">
            <v>Criterio</v>
          </cell>
        </row>
        <row r="2">
          <cell r="A2" t="str">
            <v>Cambio medio en la agudeza visual corregida (BCVA)</v>
          </cell>
        </row>
        <row r="3">
          <cell r="A3" t="str">
            <v>Pacientes con ganancia ≥15 letras en BCVA</v>
          </cell>
        </row>
        <row r="4">
          <cell r="A4" t="str">
            <v xml:space="preserve">Desprendimiento de retina </v>
          </cell>
        </row>
        <row r="5">
          <cell r="A5" t="str">
            <v>Infarto agudo de miocardio</v>
          </cell>
        </row>
        <row r="6">
          <cell r="A6" t="str">
            <v>Endoftalmitis</v>
          </cell>
        </row>
        <row r="7">
          <cell r="A7" t="str">
            <v>Supresión sistémica de VEGF</v>
          </cell>
        </row>
        <row r="8">
          <cell r="A8" t="str">
            <v>Calidad de vida relacionada con la salud</v>
          </cell>
        </row>
        <row r="9">
          <cell r="A9" t="str">
            <v>Discapacidad / capacidad funcional</v>
          </cell>
        </row>
        <row r="10">
          <cell r="A10" t="str">
            <v>Estado de aprobación regulatoria</v>
          </cell>
        </row>
        <row r="11">
          <cell r="A11" t="str">
            <v>Inclusión en guías de práctica clínica</v>
          </cell>
        </row>
      </sheetData>
      <sheetData sheetId="10" refreshError="1"/>
      <sheetData sheetId="11">
        <row r="4">
          <cell r="E4" t="e">
            <v>#VALUE!</v>
          </cell>
        </row>
      </sheetData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Modelo de valor "/>
      <sheetName val="Parametros"/>
      <sheetName val="MCDA Advanced Dashboard"/>
      <sheetName val="Inputs_nAMD "/>
      <sheetName val="Input_costo2"/>
      <sheetName val="Matriz_Medicamentos"/>
      <sheetName val="Matriz_Resultados_Crudos"/>
      <sheetName val="Equivalencia"/>
      <sheetName val="Chart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4">
          <cell r="E4" t="str">
            <v xml:space="preserve">Faricimab 6 mg  q16w 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D2B02-A546-4810-AA2C-4903554D00E9}">
  <sheetPr codeName="Hoja12"/>
  <dimension ref="A1:A8"/>
  <sheetViews>
    <sheetView workbookViewId="0">
      <selection activeCell="B11" sqref="B11"/>
    </sheetView>
  </sheetViews>
  <sheetFormatPr baseColWidth="10" defaultRowHeight="14.4"/>
  <sheetData>
    <row r="1" spans="1:1">
      <c r="A1" t="s">
        <v>76</v>
      </c>
    </row>
    <row r="2" spans="1:1">
      <c r="A2" t="s">
        <v>75</v>
      </c>
    </row>
    <row r="3" spans="1:1">
      <c r="A3" t="s">
        <v>74</v>
      </c>
    </row>
    <row r="4" spans="1:1">
      <c r="A4" t="s">
        <v>73</v>
      </c>
    </row>
    <row r="5" spans="1:1">
      <c r="A5" t="s">
        <v>86</v>
      </c>
    </row>
    <row r="6" spans="1:1">
      <c r="A6" t="s">
        <v>82</v>
      </c>
    </row>
    <row r="7" spans="1:1">
      <c r="A7" t="s">
        <v>87</v>
      </c>
    </row>
    <row r="8" spans="1:1">
      <c r="A8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D4F4A-4F40-4EB2-9482-1B2E46ECB309}">
  <sheetPr codeName="Hoja1"/>
  <dimension ref="N4:R24"/>
  <sheetViews>
    <sheetView topLeftCell="D10" zoomScaleNormal="100" workbookViewId="0">
      <selection activeCell="R18" sqref="R18"/>
    </sheetView>
  </sheetViews>
  <sheetFormatPr baseColWidth="10" defaultRowHeight="14.4"/>
  <cols>
    <col min="1" max="1" width="11.5546875" style="4"/>
    <col min="2" max="2" width="15.6640625" style="4" customWidth="1"/>
    <col min="3" max="13" width="11.5546875" style="4"/>
    <col min="14" max="14" width="21" style="4" bestFit="1" customWidth="1"/>
    <col min="15" max="15" width="11.5546875" style="4"/>
    <col min="16" max="17" width="11.5546875" style="4" customWidth="1"/>
    <col min="18" max="16384" width="11.5546875" style="4"/>
  </cols>
  <sheetData>
    <row r="4" spans="14:17" ht="19.8">
      <c r="N4" s="39" t="s">
        <v>154</v>
      </c>
    </row>
    <row r="5" spans="14:17" ht="19.8">
      <c r="N5" s="39" t="s">
        <v>155</v>
      </c>
    </row>
    <row r="6" spans="14:17" ht="19.8">
      <c r="N6" s="39" t="s">
        <v>139</v>
      </c>
    </row>
    <row r="7" spans="14:17" ht="19.8">
      <c r="N7" s="39" t="s">
        <v>156</v>
      </c>
    </row>
    <row r="8" spans="14:17" ht="19.8">
      <c r="N8" s="39" t="s">
        <v>157</v>
      </c>
    </row>
    <row r="9" spans="14:17" ht="19.8">
      <c r="N9" s="39" t="s">
        <v>158</v>
      </c>
    </row>
    <row r="12" spans="14:17" ht="20.399999999999999">
      <c r="N12" s="83" t="s">
        <v>137</v>
      </c>
      <c r="O12" s="94"/>
    </row>
    <row r="13" spans="14:17">
      <c r="N13" s="61" t="s">
        <v>76</v>
      </c>
      <c r="P13" s="4" t="b">
        <v>1</v>
      </c>
      <c r="Q13" s="4" t="s">
        <v>138</v>
      </c>
    </row>
    <row r="14" spans="14:17">
      <c r="N14" s="61" t="s">
        <v>75</v>
      </c>
      <c r="P14" s="4" t="b">
        <v>1</v>
      </c>
      <c r="Q14" s="4" t="s">
        <v>165</v>
      </c>
    </row>
    <row r="15" spans="14:17">
      <c r="N15" s="61" t="s">
        <v>74</v>
      </c>
      <c r="P15" s="4" t="b">
        <v>1</v>
      </c>
      <c r="Q15" s="4" t="s">
        <v>166</v>
      </c>
    </row>
    <row r="16" spans="14:17">
      <c r="N16" s="61" t="s">
        <v>73</v>
      </c>
      <c r="P16" s="4" t="b">
        <v>1</v>
      </c>
      <c r="Q16" s="4" t="s">
        <v>167</v>
      </c>
    </row>
    <row r="17" spans="14:18">
      <c r="N17" s="61" t="s">
        <v>86</v>
      </c>
      <c r="P17" s="4" t="b">
        <v>1</v>
      </c>
      <c r="Q17" s="4" t="s">
        <v>168</v>
      </c>
    </row>
    <row r="18" spans="14:18">
      <c r="N18" s="61" t="s">
        <v>82</v>
      </c>
      <c r="P18" s="4" t="b">
        <v>1</v>
      </c>
      <c r="Q18" s="4" t="s">
        <v>169</v>
      </c>
    </row>
    <row r="19" spans="14:18">
      <c r="N19" s="61" t="s">
        <v>87</v>
      </c>
      <c r="P19" s="4" t="b">
        <v>1</v>
      </c>
      <c r="Q19" s="4" t="s">
        <v>170</v>
      </c>
    </row>
    <row r="20" spans="14:18">
      <c r="N20" s="61" t="s">
        <v>159</v>
      </c>
      <c r="P20" s="4" t="b">
        <v>1</v>
      </c>
      <c r="Q20" s="4" t="s">
        <v>164</v>
      </c>
    </row>
    <row r="24" spans="14:18" ht="20.399999999999999">
      <c r="N24" s="39" t="s">
        <v>163</v>
      </c>
      <c r="O24" s="66">
        <v>0</v>
      </c>
      <c r="P24" s="64"/>
      <c r="Q24" s="65"/>
      <c r="R24" s="48"/>
    </row>
  </sheetData>
  <mergeCells count="1">
    <mergeCell ref="N12:O12"/>
  </mergeCells>
  <hyperlinks>
    <hyperlink ref="N4" location="'MCDA Advanced Dashboard'!A1" display="Detallado " xr:uid="{CD331E7F-B19F-4F44-9DFB-57B4149CC012}"/>
    <hyperlink ref="N5" location="Resumen!A1" display="Comparativo " xr:uid="{3479A01A-8D03-4C6C-8896-73A1D69CF746}"/>
    <hyperlink ref="N6" location="Referencias!A1" display="Referencias " xr:uid="{290F1ED1-2FBD-4034-A9A5-233EF9F9F8D2}"/>
    <hyperlink ref="N7" location="Input_costo2!A1" display="Inputs costos " xr:uid="{535F83F5-03CC-4B39-81F0-6E3203F0A261}"/>
    <hyperlink ref="N8" location="'Inputs_EMD '!A1" display="Inputs evidencia " xr:uid="{1DFEDF65-52E8-4056-B5B3-E99F0D3ECA1C}"/>
    <hyperlink ref="N9" location="'Definiciones '!A1" display="Definiciones " xr:uid="{FC41E21B-13E0-45CE-AABC-59C86617E7D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 macro="[0]!LP_ActualizarCompleto">
                <anchor moveWithCells="1">
                  <from>
                    <xdr:col>14</xdr:col>
                    <xdr:colOff>327660</xdr:colOff>
                    <xdr:row>11</xdr:row>
                    <xdr:rowOff>243840</xdr:rowOff>
                  </from>
                  <to>
                    <xdr:col>14</xdr:col>
                    <xdr:colOff>617220</xdr:colOff>
                    <xdr:row>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 macro="[0]!LP_ActualizarCompleto">
                <anchor moveWithCells="1">
                  <from>
                    <xdr:col>14</xdr:col>
                    <xdr:colOff>327660</xdr:colOff>
                    <xdr:row>12</xdr:row>
                    <xdr:rowOff>144780</xdr:rowOff>
                  </from>
                  <to>
                    <xdr:col>14</xdr:col>
                    <xdr:colOff>617220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 macro="[0]!LP_ActualizarCompleto">
                <anchor moveWithCells="1">
                  <from>
                    <xdr:col>14</xdr:col>
                    <xdr:colOff>327660</xdr:colOff>
                    <xdr:row>13</xdr:row>
                    <xdr:rowOff>129540</xdr:rowOff>
                  </from>
                  <to>
                    <xdr:col>14</xdr:col>
                    <xdr:colOff>617220</xdr:colOff>
                    <xdr:row>14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heck Box 4">
              <controlPr defaultSize="0" autoFill="0" autoLine="0" autoPict="0" macro="[0]!LP_ActualizarCompleto">
                <anchor moveWithCells="1">
                  <from>
                    <xdr:col>14</xdr:col>
                    <xdr:colOff>335280</xdr:colOff>
                    <xdr:row>14</xdr:row>
                    <xdr:rowOff>137160</xdr:rowOff>
                  </from>
                  <to>
                    <xdr:col>14</xdr:col>
                    <xdr:colOff>624840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heck Box 5">
              <controlPr defaultSize="0" autoFill="0" autoLine="0" autoPict="0" macro="[0]!LP_ActualizarCompleto">
                <anchor moveWithCells="1">
                  <from>
                    <xdr:col>14</xdr:col>
                    <xdr:colOff>335280</xdr:colOff>
                    <xdr:row>15</xdr:row>
                    <xdr:rowOff>160020</xdr:rowOff>
                  </from>
                  <to>
                    <xdr:col>14</xdr:col>
                    <xdr:colOff>624840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heck Box 6">
              <controlPr defaultSize="0" autoFill="0" autoLine="0" autoPict="0" macro="[0]!LP_ActualizarCompleto">
                <anchor moveWithCells="1">
                  <from>
                    <xdr:col>14</xdr:col>
                    <xdr:colOff>335280</xdr:colOff>
                    <xdr:row>16</xdr:row>
                    <xdr:rowOff>144780</xdr:rowOff>
                  </from>
                  <to>
                    <xdr:col>14</xdr:col>
                    <xdr:colOff>624840</xdr:colOff>
                    <xdr:row>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heck Box 7">
              <controlPr defaultSize="0" autoFill="0" autoLine="0" autoPict="0" macro="[0]!LP_ActualizarCompleto">
                <anchor moveWithCells="1">
                  <from>
                    <xdr:col>14</xdr:col>
                    <xdr:colOff>335280</xdr:colOff>
                    <xdr:row>17</xdr:row>
                    <xdr:rowOff>160020</xdr:rowOff>
                  </from>
                  <to>
                    <xdr:col>14</xdr:col>
                    <xdr:colOff>624840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Check Box 8">
              <controlPr defaultSize="0" autoFill="0" autoLine="0" autoPict="0" macro="[0]!LP_ActualizarCompleto">
                <anchor moveWithCells="1">
                  <from>
                    <xdr:col>14</xdr:col>
                    <xdr:colOff>327660</xdr:colOff>
                    <xdr:row>18</xdr:row>
                    <xdr:rowOff>167640</xdr:rowOff>
                  </from>
                  <to>
                    <xdr:col>14</xdr:col>
                    <xdr:colOff>617220</xdr:colOff>
                    <xdr:row>20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34F5F-0F22-4B25-8393-A803045B53DE}">
  <sheetPr codeName="Hoja2"/>
  <dimension ref="A4:D14"/>
  <sheetViews>
    <sheetView zoomScale="80" zoomScaleNormal="80" workbookViewId="0">
      <selection activeCell="C5" sqref="C5"/>
    </sheetView>
  </sheetViews>
  <sheetFormatPr baseColWidth="10" defaultRowHeight="14.4"/>
  <cols>
    <col min="1" max="2" width="42.44140625" style="4" customWidth="1"/>
    <col min="3" max="3" width="47.88671875" style="4" customWidth="1"/>
    <col min="4" max="4" width="42.44140625" style="4" customWidth="1"/>
    <col min="5" max="5" width="50.88671875" style="4" customWidth="1"/>
    <col min="6" max="16384" width="11.5546875" style="4"/>
  </cols>
  <sheetData>
    <row r="4" spans="1:4" ht="19.8">
      <c r="A4" s="39" t="s">
        <v>31</v>
      </c>
      <c r="B4" s="39" t="s">
        <v>30</v>
      </c>
      <c r="C4" s="39" t="s">
        <v>104</v>
      </c>
      <c r="D4" s="39" t="s">
        <v>105</v>
      </c>
    </row>
    <row r="5" spans="1:4" ht="102">
      <c r="A5" s="40" t="s">
        <v>33</v>
      </c>
      <c r="B5" s="41" t="s">
        <v>34</v>
      </c>
      <c r="C5" s="41" t="s">
        <v>106</v>
      </c>
      <c r="D5" s="41" t="s">
        <v>107</v>
      </c>
    </row>
    <row r="6" spans="1:4" ht="102">
      <c r="A6" s="40" t="s">
        <v>33</v>
      </c>
      <c r="B6" s="41" t="s">
        <v>35</v>
      </c>
      <c r="C6" s="41" t="s">
        <v>108</v>
      </c>
      <c r="D6" s="41" t="s">
        <v>109</v>
      </c>
    </row>
    <row r="7" spans="1:4" ht="81.599999999999994">
      <c r="A7" s="40" t="s">
        <v>18</v>
      </c>
      <c r="B7" s="41" t="s">
        <v>110</v>
      </c>
      <c r="C7" s="41" t="s">
        <v>111</v>
      </c>
      <c r="D7" s="41" t="s">
        <v>112</v>
      </c>
    </row>
    <row r="8" spans="1:4" ht="121.2" customHeight="1">
      <c r="A8" s="40" t="s">
        <v>18</v>
      </c>
      <c r="B8" s="41" t="s">
        <v>38</v>
      </c>
      <c r="C8" s="41" t="s">
        <v>113</v>
      </c>
      <c r="D8" s="41" t="s">
        <v>112</v>
      </c>
    </row>
    <row r="9" spans="1:4" ht="40.799999999999997">
      <c r="A9" s="40" t="s">
        <v>18</v>
      </c>
      <c r="B9" s="41" t="s">
        <v>39</v>
      </c>
      <c r="C9" s="41" t="s">
        <v>114</v>
      </c>
      <c r="D9" s="41" t="s">
        <v>112</v>
      </c>
    </row>
    <row r="10" spans="1:4" ht="81.599999999999994">
      <c r="A10" s="40" t="s">
        <v>37</v>
      </c>
      <c r="B10" s="41" t="s">
        <v>40</v>
      </c>
      <c r="C10" s="41" t="s">
        <v>115</v>
      </c>
      <c r="D10" s="41" t="s">
        <v>116</v>
      </c>
    </row>
    <row r="11" spans="1:4" ht="122.4">
      <c r="A11" s="40" t="s">
        <v>13</v>
      </c>
      <c r="B11" s="41" t="s">
        <v>41</v>
      </c>
      <c r="C11" s="41" t="s">
        <v>117</v>
      </c>
      <c r="D11" s="41" t="s">
        <v>118</v>
      </c>
    </row>
    <row r="12" spans="1:4" ht="102">
      <c r="A12" s="40" t="s">
        <v>13</v>
      </c>
      <c r="B12" s="41" t="s">
        <v>42</v>
      </c>
      <c r="C12" s="41" t="s">
        <v>119</v>
      </c>
      <c r="D12" s="41" t="s">
        <v>118</v>
      </c>
    </row>
    <row r="13" spans="1:4" ht="122.4">
      <c r="A13" s="40" t="s">
        <v>120</v>
      </c>
      <c r="B13" s="41" t="s">
        <v>44</v>
      </c>
      <c r="C13" s="41" t="s">
        <v>121</v>
      </c>
      <c r="D13" s="41" t="s">
        <v>122</v>
      </c>
    </row>
    <row r="14" spans="1:4" ht="102">
      <c r="A14" s="40" t="s">
        <v>120</v>
      </c>
      <c r="B14" s="41" t="s">
        <v>45</v>
      </c>
      <c r="C14" s="41" t="s">
        <v>123</v>
      </c>
      <c r="D14" s="41" t="s">
        <v>124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B9:T32"/>
  <sheetViews>
    <sheetView showGridLines="0" zoomScale="70" zoomScaleNormal="70" workbookViewId="0">
      <selection activeCell="D10" sqref="D10"/>
    </sheetView>
  </sheetViews>
  <sheetFormatPr baseColWidth="10" defaultColWidth="8.88671875" defaultRowHeight="14.4"/>
  <cols>
    <col min="1" max="1" width="2.6640625" customWidth="1"/>
    <col min="2" max="2" width="60.21875" customWidth="1"/>
    <col min="3" max="3" width="11.44140625" customWidth="1"/>
    <col min="4" max="4" width="83.33203125" customWidth="1"/>
    <col min="5" max="5" width="30.44140625" customWidth="1"/>
    <col min="6" max="6" width="26.77734375" customWidth="1"/>
    <col min="7" max="7" width="24.44140625" customWidth="1"/>
    <col min="8" max="12" width="19.5546875" customWidth="1"/>
    <col min="16" max="16" width="63.5546875" customWidth="1"/>
    <col min="18" max="18" width="33.109375" customWidth="1"/>
    <col min="20" max="20" width="38.77734375" hidden="1" customWidth="1"/>
  </cols>
  <sheetData>
    <row r="9" spans="2:20" ht="34.799999999999997">
      <c r="B9" s="11" t="s">
        <v>58</v>
      </c>
      <c r="D9" s="13" t="s">
        <v>56</v>
      </c>
      <c r="E9" s="99" t="e">
        <f>F30</f>
        <v>#N/A</v>
      </c>
      <c r="F9" s="99"/>
    </row>
    <row r="10" spans="2:20" ht="20.399999999999999">
      <c r="B10" s="1"/>
      <c r="D10" s="12"/>
      <c r="E10" s="99"/>
      <c r="F10" s="99"/>
    </row>
    <row r="11" spans="2:20">
      <c r="E11" s="99"/>
      <c r="F11" s="99"/>
    </row>
    <row r="12" spans="2:20" ht="19.8">
      <c r="E12" s="100" t="s">
        <v>0</v>
      </c>
      <c r="F12" s="100"/>
    </row>
    <row r="14" spans="2:20" ht="28.8" customHeight="1" thickBot="1">
      <c r="B14" s="5" t="s">
        <v>1</v>
      </c>
      <c r="C14" s="6" t="s">
        <v>2</v>
      </c>
      <c r="D14" s="6" t="s">
        <v>63</v>
      </c>
      <c r="E14" s="6" t="s">
        <v>32</v>
      </c>
      <c r="F14" s="15" t="s">
        <v>3</v>
      </c>
      <c r="G14" s="6" t="s">
        <v>57</v>
      </c>
      <c r="H14" s="6">
        <v>1</v>
      </c>
      <c r="I14" s="6">
        <v>2</v>
      </c>
      <c r="J14" s="6">
        <v>3</v>
      </c>
      <c r="K14" s="6">
        <v>4</v>
      </c>
      <c r="L14" s="6">
        <v>5</v>
      </c>
      <c r="P14" s="20" t="s">
        <v>65</v>
      </c>
      <c r="R14" s="15" t="s">
        <v>68</v>
      </c>
      <c r="T14" s="15" t="s">
        <v>69</v>
      </c>
    </row>
    <row r="15" spans="2:20" ht="20.399999999999999">
      <c r="B15" s="102" t="s">
        <v>33</v>
      </c>
      <c r="C15" s="102"/>
      <c r="D15" s="102"/>
      <c r="E15" s="102"/>
      <c r="F15" s="102"/>
      <c r="G15" s="102"/>
      <c r="H15" s="7"/>
      <c r="I15" s="7"/>
      <c r="J15" s="7"/>
      <c r="K15" s="7"/>
      <c r="L15" s="7"/>
      <c r="P15" s="16"/>
    </row>
    <row r="16" spans="2:20" ht="67.2" customHeight="1">
      <c r="B16" s="8" t="s">
        <v>34</v>
      </c>
      <c r="C16" s="9">
        <v>20.5</v>
      </c>
      <c r="D16" s="14" t="e">
        <f>"La ganancia media de BCVA con " &amp; $D$10 &amp; " fue de " &amp; VLOOKUP(B16, Matriz_Resultados_Crudos!$A$1:$I$11, MATCH($D$10, Matriz_Resultados_Crudos!$A$1:$I$1, 0), FALSE) &amp; " letras, de acuerdo con lo reportado en la literatura científica."</f>
        <v>#N/A</v>
      </c>
      <c r="E16" s="9" t="e">
        <f>VLOOKUP(B16, Matriz_Medicamentos!$A$2:$I$11, MATCH($D$10, Matriz_Medicamentos!$A$1:$I$1, 0), FALSE)</f>
        <v>#N/A</v>
      </c>
      <c r="F16" s="9" t="e">
        <f>(C16 * (E16/5))</f>
        <v>#N/A</v>
      </c>
      <c r="G16" s="97" t="e">
        <f>(F16+F17)/(C16+C17)*100</f>
        <v>#N/A</v>
      </c>
      <c r="H16" s="10" t="e">
        <f>IF(COLUMNS($H16:H16)&lt;=$E16, 1, "")</f>
        <v>#N/A</v>
      </c>
      <c r="I16" s="10" t="e">
        <f>IF(COLUMNS($H16:I16)&lt;=$E16, 1, "")</f>
        <v>#N/A</v>
      </c>
      <c r="J16" s="10" t="e">
        <f>IF(COLUMNS($H16:J16)&lt;=$E16, 1, "")</f>
        <v>#N/A</v>
      </c>
      <c r="K16" s="10" t="e">
        <f>IF(COLUMNS($H16:K16)&lt;=$E16, 1, "")</f>
        <v>#N/A</v>
      </c>
      <c r="L16" s="10" t="e">
        <f>IF(COLUMNS($H16:L16)&lt;=$E16, 1, "")</f>
        <v>#N/A</v>
      </c>
      <c r="P16" s="15" t="s">
        <v>98</v>
      </c>
      <c r="Q16" s="17"/>
      <c r="R16" s="21">
        <f>IFERROR(_xlfn.XLOOKUP($D$10,Input_costo2!$C:$C,Input_costo2!$I:$I),"")</f>
        <v>0</v>
      </c>
      <c r="T16" s="21" t="str">
        <f>IFERROR(IF(ISNUMBER(SEARCH("Ranibizumab",$D$10)),_xlfn.XLOOKUP("Ranibizumab 0,5 mg q4w",#REF!,#REF!),IF(ISNUMBER(SEARCH("Aflibercept",$D$10)),_xlfn.XLOOKUP("Aflibercept 2 mg q8w",#REF!,#REF!),IF(ISNUMBER(SEARCH("Faricimab",$D$10)),#REF!,""))),"")</f>
        <v/>
      </c>
    </row>
    <row r="17" spans="2:20" ht="44.4" customHeight="1" thickBot="1">
      <c r="B17" s="8" t="s">
        <v>35</v>
      </c>
      <c r="C17" s="9">
        <v>14.5</v>
      </c>
      <c r="D17" s="14" t="e">
        <f>"La proporción de pacientes con ganancia ≥15 letras en BCVA fue de " &amp; VLOOKUP(B17, Matriz_Resultados_Crudos!$A$1:$I$11, MATCH($D$10, Matriz_Resultados_Crudos!$A$1:$I$1, 0), FALSE) &amp; "% con " &amp; $D$10 &amp; " según el tiempo reportado en la literatura."</f>
        <v>#N/A</v>
      </c>
      <c r="E17" s="9" t="e">
        <f>VLOOKUP(B17, Matriz_Medicamentos!$A$2:$I$11, MATCH($D$10, Matriz_Medicamentos!$A$1:$I$1, 0), FALSE)</f>
        <v>#N/A</v>
      </c>
      <c r="F17" s="9" t="e">
        <f>(C17 * (E17/5))</f>
        <v>#N/A</v>
      </c>
      <c r="G17" s="97"/>
      <c r="H17" s="10" t="e">
        <f>IF(COLUMNS($H17:H17)&lt;=$E17, 1, "")</f>
        <v>#N/A</v>
      </c>
      <c r="I17" s="10" t="e">
        <f>IF(COLUMNS($H17:I17)&lt;=$E17, 1, "")</f>
        <v>#N/A</v>
      </c>
      <c r="J17" s="10" t="e">
        <f>IF(COLUMNS($H17:J17)&lt;=$E17, 1, "")</f>
        <v>#N/A</v>
      </c>
      <c r="K17" s="10" t="e">
        <f>IF(COLUMNS($H17:K17)&lt;=$E17, 1, "")</f>
        <v>#N/A</v>
      </c>
      <c r="L17" s="10" t="e">
        <f>IF(COLUMNS($H17:L17)&lt;=$E17, 1, "")</f>
        <v>#N/A</v>
      </c>
      <c r="P17" s="18"/>
      <c r="Q17" s="17"/>
      <c r="R17" s="19"/>
    </row>
    <row r="18" spans="2:20" ht="66" customHeight="1">
      <c r="B18" s="102" t="s">
        <v>37</v>
      </c>
      <c r="C18" s="102"/>
      <c r="D18" s="102"/>
      <c r="E18" s="102"/>
      <c r="F18" s="102"/>
      <c r="G18" s="102"/>
      <c r="H18" s="7"/>
      <c r="I18" s="7"/>
      <c r="J18" s="7"/>
      <c r="K18" s="7"/>
      <c r="L18" s="7"/>
      <c r="P18" s="15" t="s">
        <v>66</v>
      </c>
      <c r="Q18" s="17"/>
      <c r="R18" s="21">
        <f>IFERROR(_xlfn.XLOOKUP($D$10,Input_costo2!$C:$C,Input_costo2!$M:$M),"")</f>
        <v>0</v>
      </c>
      <c r="T18" s="21" t="str">
        <f>IFERROR(IF(ISNUMBER(SEARCH("Ranibizumab",$D$10)),_xlfn.XLOOKUP("Ranibizumab 0,5 mg q4w",#REF!,#REF!),IF(ISNUMBER(SEARCH("Aflibercept",$D$10)),_xlfn.XLOOKUP("Aflibercept 2 mg q8w",#REF!,#REF!),IF(ISNUMBER(SEARCH("Faricimab",$D$10)),#REF!,""))),"")</f>
        <v/>
      </c>
    </row>
    <row r="19" spans="2:20" ht="45.6" customHeight="1">
      <c r="B19" s="8" t="s">
        <v>36</v>
      </c>
      <c r="C19" s="9">
        <v>16.8</v>
      </c>
      <c r="D19" s="14" t="e">
        <f>IF(VLOOKUP(B19, Matriz_Resultados_Crudos!$A$1:$I$11, MATCH($D$10, Matriz_Resultados_Crudos!$A$1:$I$1, 0), FALSE)="No ocurrencia", "Para " &amp; $D$10 &amp; " no se reportó el evento de " &amp; LOWER(B19) &amp; " en el tiempo de seguimiento clínico reportado en el estudio fuente.", IF(VLOOKUP(B19, Matriz_Resultados_Crudos!$A$1:$I$11, MATCH($D$10, Matriz_Resultados_Crudos!$A$1:$I$1, 0), FALSE)="Ocurrencia", "Se reportó el evento de " &amp; LOWER(B19) &amp; " con una frecuencia muy baja con " &amp; $D$10 &amp; ", según la literatura fuente.", "Información No Reportada (NR)"))</f>
        <v>#N/A</v>
      </c>
      <c r="E19" s="9" t="e">
        <f>VLOOKUP(B19, Matriz_Medicamentos!$A$2:$I$11, MATCH($D$10, Matriz_Medicamentos!$A$1:$I$1, 0), FALSE)</f>
        <v>#N/A</v>
      </c>
      <c r="F19" s="9" t="e">
        <f>(C19 * (E19/5))</f>
        <v>#N/A</v>
      </c>
      <c r="G19" s="98" t="e">
        <f>(F19+F20+F21+F22)/(C19+C20+C21+C22)*100</f>
        <v>#N/A</v>
      </c>
      <c r="H19" s="10" t="e">
        <f>IF(COLUMNS($H19:H19)&lt;=$E19, 1, "")</f>
        <v>#N/A</v>
      </c>
      <c r="I19" s="10" t="e">
        <f>IF(COLUMNS($H19:I19)&lt;=$E19, 1, "")</f>
        <v>#N/A</v>
      </c>
      <c r="J19" s="10" t="e">
        <f>IF(COLUMNS($H19:J19)&lt;=$E19, 1, "")</f>
        <v>#N/A</v>
      </c>
      <c r="K19" s="10" t="e">
        <f>IF(COLUMNS($H19:K19)&lt;=$E19, 1, "")</f>
        <v>#N/A</v>
      </c>
      <c r="L19" s="10" t="e">
        <f>IF(COLUMNS($H19:L19)&lt;=$E19, 1, "")</f>
        <v>#N/A</v>
      </c>
      <c r="P19" s="17"/>
      <c r="Q19" s="17"/>
      <c r="R19" s="19"/>
    </row>
    <row r="20" spans="2:20" ht="61.2" customHeight="1">
      <c r="B20" s="8" t="s">
        <v>38</v>
      </c>
      <c r="C20" s="9">
        <v>13.7</v>
      </c>
      <c r="D20" s="14" t="e">
        <f>IF(VLOOKUP(B20, Matriz_Resultados_Crudos!$A$1:$I$11, MATCH($D$10, Matriz_Resultados_Crudos!$A$1:$I$1, 0), FALSE)="No ocurrencia", "Para " &amp; $D$10 &amp; " no se reportó el evento de " &amp; LOWER(B20) &amp; " en el tiempo de seguimiento clínico reportado en el estudio fuente.", IF(VLOOKUP(B20, Matriz_Resultados_Crudos!$A$1:$I$11, MATCH($D$10, Matriz_Resultados_Crudos!$A$1:$I$1, 0), FALSE)="Ocurrencia", "Se reportó el evento de " &amp; LOWER(B20) &amp; " con una frecuencia muy baja con " &amp; $D$10 &amp; ", según la literatura fuente.", "Información No Reportada (NR)"))</f>
        <v>#N/A</v>
      </c>
      <c r="E20" s="9" t="e">
        <f>VLOOKUP(B20, Matriz_Medicamentos!$A$2:$I$11, MATCH($D$10, Matriz_Medicamentos!$A$1:$I$1, 0), FALSE)</f>
        <v>#N/A</v>
      </c>
      <c r="F20" s="9" t="e">
        <f>(C20 * (E20/5))</f>
        <v>#N/A</v>
      </c>
      <c r="G20" s="98"/>
      <c r="H20" s="10" t="e">
        <f>IF(COLUMNS($H20:H20)&lt;=$E20, 1, "")</f>
        <v>#N/A</v>
      </c>
      <c r="I20" s="10" t="e">
        <f>IF(COLUMNS($H20:I20)&lt;=$E20, 1, "")</f>
        <v>#N/A</v>
      </c>
      <c r="J20" s="10" t="e">
        <f>IF(COLUMNS($H20:J20)&lt;=$E20, 1, "")</f>
        <v>#N/A</v>
      </c>
      <c r="K20" s="10" t="e">
        <f>IF(COLUMNS($H20:K20)&lt;=$E20, 1, "")</f>
        <v>#N/A</v>
      </c>
      <c r="L20" s="10" t="e">
        <f>IF(COLUMNS($H20:L20)&lt;=$E20, 1, "")</f>
        <v>#N/A</v>
      </c>
      <c r="P20" s="15" t="s">
        <v>64</v>
      </c>
      <c r="Q20" s="17"/>
      <c r="R20" s="21">
        <f>IFERROR(_xlfn.XLOOKUP($D$10,Input_costo2!$C:$C,Input_costo2!$Q:$Q),"")</f>
        <v>0</v>
      </c>
      <c r="T20" s="21" t="str">
        <f>IFERROR(IF(ISNUMBER(SEARCH("Ranibizumab",$D$10)),_xlfn.XLOOKUP("Ranibizumab 0,5 mg q4w",#REF!,#REF!),IF(ISNUMBER(SEARCH("Aflibercept",$D$10)),_xlfn.XLOOKUP("Aflibercept 2 mg q8w",#REF!,#REF!),IF(ISNUMBER(SEARCH("Faricimab",$D$10)),#REF!,""))),"")</f>
        <v/>
      </c>
    </row>
    <row r="21" spans="2:20" ht="23.4">
      <c r="B21" s="8" t="s">
        <v>39</v>
      </c>
      <c r="C21" s="9">
        <v>13.7</v>
      </c>
      <c r="D21" s="14" t="e">
        <f>IF(VLOOKUP(B21, Matriz_Resultados_Crudos!$A$1:$I$11, MATCH($D$10, Matriz_Resultados_Crudos!$A$1:$I$1, 0), FALSE)="No ocurrencia", "Para " &amp; $D$10 &amp; " no se reportó el evento de " &amp; LOWER(B21) &amp; " en el tiempo de seguimiento clínico reportado en el estudio fuente.", IF(VLOOKUP(B21, Matriz_Resultados_Crudos!$A$1:$I$11, MATCH($D$10, Matriz_Resultados_Crudos!$A$1:$I$1, 0), FALSE)="Ocurrencia", "Se reportó el evento de " &amp; LOWER(B21) &amp; " con una frecuencia muy baja con " &amp; $D$10 &amp; ", según la literatura fuente.", "Información No Reportada (NR)"))</f>
        <v>#N/A</v>
      </c>
      <c r="E21" s="9" t="e">
        <f>VLOOKUP(B21, Matriz_Medicamentos!$A$2:$I$11, MATCH($D$10, Matriz_Medicamentos!$A$1:$I$1, 0), FALSE)</f>
        <v>#N/A</v>
      </c>
      <c r="F21" s="9" t="e">
        <f>(C21 * (E21/5))</f>
        <v>#N/A</v>
      </c>
      <c r="G21" s="98"/>
      <c r="H21" s="10" t="e">
        <f>IF(COLUMNS($H21:H21)&lt;=$E21, 1, "")</f>
        <v>#N/A</v>
      </c>
      <c r="I21" s="10" t="e">
        <f>IF(COLUMNS($H21:I21)&lt;=$E21, 1, "")</f>
        <v>#N/A</v>
      </c>
      <c r="J21" s="10" t="e">
        <f>IF(COLUMNS($H21:J21)&lt;=$E21, 1, "")</f>
        <v>#N/A</v>
      </c>
      <c r="K21" s="10" t="e">
        <f>IF(COLUMNS($H21:K21)&lt;=$E21, 1, "")</f>
        <v>#N/A</v>
      </c>
      <c r="L21" s="10" t="e">
        <f>IF(COLUMNS($H21:L21)&lt;=$E21, 1, "")</f>
        <v>#N/A</v>
      </c>
      <c r="P21" s="17"/>
      <c r="Q21" s="17"/>
      <c r="R21" s="19"/>
    </row>
    <row r="22" spans="2:20" ht="75.599999999999994" customHeight="1" thickBot="1">
      <c r="B22" s="8" t="s">
        <v>40</v>
      </c>
      <c r="C22" s="9">
        <v>2.8</v>
      </c>
      <c r="D22" s="14" t="e">
        <f>IF(VLOOKUP(B22, Matriz_Resultados_Crudos!$A$1:$I$11, MATCH($D$10, Matriz_Resultados_Crudos!$A$1:$I$1, 0), FALSE)="No prolongada", "Supresión sistémica baja. ; perfil seguro y de elección en riesgo renal , según la guía fuente.", IF(VLOOKUP(B22, Matriz_Resultados_Crudos!$A$1:$I$11, MATCH($D$10, Matriz_Resultados_Crudos!$A$1:$I$1, 0), FALSE)="Prolongada", "Supresión sistémica prolongada. Restringido si TFGe &lt; 60 ml/min  de acuerdo con la guía fuente ).", "PRECAUCIÓN: Mecanismo biespecífico actualmente bajo investigación. Datos clínicos limitados a largo plazo en nefropatía."))</f>
        <v>#N/A</v>
      </c>
      <c r="E22" s="9" t="e">
        <f>VLOOKUP(B22, Matriz_Medicamentos!$A$2:$I$11, MATCH($D$10, Matriz_Medicamentos!$A$1:$I$1, 0), FALSE)</f>
        <v>#N/A</v>
      </c>
      <c r="F22" s="9" t="e">
        <f>(C22 * (E22/5))</f>
        <v>#N/A</v>
      </c>
      <c r="G22" s="98"/>
      <c r="H22" s="10" t="e">
        <f>IF(COLUMNS($H22:H22)&lt;=$E22, 1, "")</f>
        <v>#N/A</v>
      </c>
      <c r="I22" s="10" t="e">
        <f>IF(COLUMNS($H22:I22)&lt;=$E22, 1, "")</f>
        <v>#N/A</v>
      </c>
      <c r="J22" s="10" t="e">
        <f>IF(COLUMNS($H22:J22)&lt;=$E22, 1, "")</f>
        <v>#N/A</v>
      </c>
      <c r="K22" s="10" t="e">
        <f>IF(COLUMNS($H22:K22)&lt;=$E22, 1, "")</f>
        <v>#N/A</v>
      </c>
      <c r="L22" s="10" t="e">
        <f>IF(COLUMNS($H22:L22)&lt;=$E22, 1, "")</f>
        <v>#N/A</v>
      </c>
      <c r="P22" s="15" t="s">
        <v>67</v>
      </c>
      <c r="Q22" s="17"/>
      <c r="R22" s="22" t="e">
        <f>R20/E9</f>
        <v>#N/A</v>
      </c>
      <c r="T22" s="21" t="e">
        <f>T20/E9</f>
        <v>#VALUE!</v>
      </c>
    </row>
    <row r="23" spans="2:20" ht="20.399999999999999">
      <c r="B23" s="102" t="s">
        <v>61</v>
      </c>
      <c r="C23" s="102"/>
      <c r="D23" s="102"/>
      <c r="E23" s="102"/>
      <c r="F23" s="102"/>
      <c r="G23" s="102"/>
      <c r="H23" s="7"/>
      <c r="I23" s="7"/>
      <c r="J23" s="7"/>
      <c r="K23" s="7"/>
      <c r="L23" s="7"/>
    </row>
    <row r="24" spans="2:20" ht="76.8" customHeight="1">
      <c r="B24" s="8" t="s">
        <v>41</v>
      </c>
      <c r="C24" s="9">
        <v>6</v>
      </c>
      <c r="D24" s="14" t="e">
        <f>IF(VLOOKUP(B24, Matriz_Resultados_Crudos!$A$1:$I$11, MATCH($D$10, Matriz_Resultados_Crudos!$A$1:$I$1, 0), FALSE)="Mejoría", "  La evidencia sugiere una mejora en la calidad de vida  global del paciente, tras el tratamiento con " &amp; $D$10 &amp; ", según la literatura fuente del modelo.", IF(VLOOKUP(B24, Matriz_Resultados_Crudos!$A$1:$I$11, MATCH($D$10, Matriz_Resultados_Crudos!$A$1:$I$1, 0), FALSE)="Empeoramiento", "Alerta: Restricción en la calidad de vida con " &amp; $D$10 &amp; ". Evidencia reporta deterioro significativo en los ámbitos laboral, social o funcional.", IF(VLOOKUP(B24, Matriz_Resultados_Crudos!$A$1:$I$11, MATCH($D$10, Matriz_Resultados_Crudos!$A$1:$I$1, 0), FALSE)="Sin efecto", "Estabilidad clínica: No se reportaron cambios significativos en la calidad de vida ni en el desempeño diario del paciente con " &amp; $D$10 &amp; ".", "Información No Reportada (NR) sobre calidad de vida.")))</f>
        <v>#N/A</v>
      </c>
      <c r="E24" s="9" t="e">
        <f>VLOOKUP(B24, Matriz_Medicamentos!$A$2:$I$11, MATCH($D$10, Matriz_Medicamentos!$A$1:$I$1, 0), FALSE)</f>
        <v>#N/A</v>
      </c>
      <c r="F24" s="9" t="e">
        <f>(C24 * (E24/5))</f>
        <v>#N/A</v>
      </c>
      <c r="G24" s="101" t="e">
        <f>(F24+F25)/(C24+C25)*100</f>
        <v>#N/A</v>
      </c>
      <c r="H24" s="10" t="e">
        <f>IF(COLUMNS($H24:H24)&lt;=$E24, 1, "")</f>
        <v>#N/A</v>
      </c>
      <c r="I24" s="10" t="e">
        <f>IF(COLUMNS($H24:I24)&lt;=$E24, 1, "")</f>
        <v>#N/A</v>
      </c>
      <c r="J24" s="10" t="e">
        <f>IF(COLUMNS($H24:J24)&lt;=$E24, 1, "")</f>
        <v>#N/A</v>
      </c>
      <c r="K24" s="10" t="e">
        <f>IF(COLUMNS($H24:K24)&lt;=$E24, 1, "")</f>
        <v>#N/A</v>
      </c>
      <c r="L24" s="10" t="e">
        <f>IF(COLUMNS($H24:L24)&lt;=$E24, 1, "")</f>
        <v>#N/A</v>
      </c>
      <c r="P24" s="95"/>
      <c r="Q24" s="95"/>
      <c r="R24" s="95"/>
    </row>
    <row r="25" spans="2:20" ht="21" thickBot="1">
      <c r="B25" s="8" t="s">
        <v>42</v>
      </c>
      <c r="C25" s="9">
        <v>5</v>
      </c>
      <c r="D25" s="14" t="e">
        <f>IF(VLOOKUP(B25, Matriz_Resultados_Crudos!$A$1:$I$11, MATCH($D$10, Matriz_Resultados_Crudos!$A$1:$I$1, 0), FALSE)="Mejoría", " La evidencia disponible muestra una mejora en los dominios relacionados con la capacidad funcional o  el desempeño de los pacientes en las actividades de la vida diaria tras el tratamiento con " &amp; $D$10 &amp; ".", IF(VLOOKUP(B25, Matriz_Resultados_Crudos!$A$1:$I$11, MATCH($D$10, Matriz_Resultados_Crudos!$A$1:$I$1, 0), FALSE)="Empeoramiento", "Alerta de deterioro funcional: Se evidencia un incremento en el grado de discapacidad o restricciones severas para realizar actividades de la vida diaria con " &amp; $D$10 &amp; ".", IF(VLOOKUP(B25, Matriz_Resultados_Crudos!$A$1:$I$11, MATCH($D$10, Matriz_Resultados_Crudos!$A$1:$I$1, 0), FALSE)="Sin efecto", "Estabilidad funcional: No se reportaron cambios significativos en el grado de discapacidad basal ni en el desempeño diario del paciente con " &amp; $D$10 &amp; ".", "No se encontraron datos disponibles para dominios relacionados con la capacidad funcional del paciente y a su desempeño en las actividades de la vida diaria; para " &amp; $D$10 &amp; " solo se encuentran datos para la calidad de vida global.")))</f>
        <v>#N/A</v>
      </c>
      <c r="E25" s="9" t="e">
        <f>VLOOKUP(B25, Matriz_Medicamentos!$A$2:$I$11, MATCH($D$10, Matriz_Medicamentos!$A$1:$I$1, 0), FALSE)</f>
        <v>#N/A</v>
      </c>
      <c r="F25" s="9" t="e">
        <f>(C25 * (E25/5))</f>
        <v>#N/A</v>
      </c>
      <c r="G25" s="101"/>
      <c r="H25" s="10" t="e">
        <f>IF(COLUMNS($H25:H25)&lt;=$E25, 1, "")</f>
        <v>#N/A</v>
      </c>
      <c r="I25" s="10" t="e">
        <f>IF(COLUMNS($H25:I25)&lt;=$E25, 1, "")</f>
        <v>#N/A</v>
      </c>
      <c r="J25" s="10" t="e">
        <f>IF(COLUMNS($H25:J25)&lt;=$E25, 1, "")</f>
        <v>#N/A</v>
      </c>
      <c r="K25" s="10" t="e">
        <f>IF(COLUMNS($H25:K25)&lt;=$E25, 1, "")</f>
        <v>#N/A</v>
      </c>
      <c r="L25" s="10" t="e">
        <f>IF(COLUMNS($H25:L25)&lt;=$E25, 1, "")</f>
        <v>#N/A</v>
      </c>
    </row>
    <row r="26" spans="2:20" ht="20.399999999999999">
      <c r="B26" s="102" t="s">
        <v>43</v>
      </c>
      <c r="C26" s="102"/>
      <c r="D26" s="102"/>
      <c r="E26" s="102"/>
      <c r="F26" s="102"/>
      <c r="G26" s="102"/>
      <c r="H26" s="7"/>
      <c r="I26" s="7"/>
      <c r="J26" s="7"/>
      <c r="K26" s="7"/>
      <c r="L26" s="7"/>
    </row>
    <row r="27" spans="2:20" ht="78.599999999999994" customHeight="1">
      <c r="B27" s="8" t="s">
        <v>44</v>
      </c>
      <c r="C27" s="9">
        <v>4</v>
      </c>
      <c r="D27" s="14" t="e">
        <f>IF(VLOOKUP(B27, Matriz_Resultados_Crudos!$A$1:$I$11, MATCH($D$10, Matriz_Resultados_Crudos!$A$1:$I$1, 0), FALSE)="On-Label", "Aprobación vigente: La tecnología " &amp; $D$10 &amp; " cuenta con una indicación formalmente aprobada por la agencia de salud para esta patología y dispone de registro sanitario activo en el país, respaldando su uso clínico .", IF(VLOOKUP(B27, Matriz_Resultados_Crudos!$A$1:$I$11, MATCH($D$10, Matriz_Resultados_Crudos!$A$1:$I$1, 0), FALSE)="Off-label", "Uso fuera de indicación (Off-Label): La tecnología " &amp; $D$10 &amp; " no cuenta con un registro sanitario específico ni indicación autorizada por la agencia de salud para el manejo de esta enfermedad en el país.", "Estado regulatorio no reportado o en proceso de evaluación sanitaria para " &amp; $D$10 &amp; "."))</f>
        <v>#N/A</v>
      </c>
      <c r="E27" s="9" t="e">
        <f>VLOOKUP(B27, Matriz_Medicamentos!$A$2:$I$11, MATCH($D$10, Matriz_Medicamentos!$A$1:$I$1, 0), FALSE)</f>
        <v>#N/A</v>
      </c>
      <c r="F27" s="9" t="e">
        <f>(C27 * (E27/5))</f>
        <v>#N/A</v>
      </c>
      <c r="G27" s="96" t="e">
        <f>(F27+F28)/(C27+C28)*100</f>
        <v>#N/A</v>
      </c>
      <c r="H27" s="10" t="e">
        <f>IF(COLUMNS($H27:H27)&lt;=$E27, 1, "")</f>
        <v>#N/A</v>
      </c>
      <c r="I27" s="10" t="e">
        <f>IF(COLUMNS($H27:I27)&lt;=$E27, 1, "")</f>
        <v>#N/A</v>
      </c>
      <c r="J27" s="10" t="e">
        <f>IF(COLUMNS($H27:J27)&lt;=$E27, 1, "")</f>
        <v>#N/A</v>
      </c>
      <c r="K27" s="10" t="e">
        <f>IF(COLUMNS($H27:K27)&lt;=$E27, 1, "")</f>
        <v>#N/A</v>
      </c>
      <c r="L27" s="10" t="e">
        <f>IF(COLUMNS($H27:L27)&lt;=$E27, 1, "")</f>
        <v>#N/A</v>
      </c>
    </row>
    <row r="28" spans="2:20" ht="121.2" customHeight="1">
      <c r="B28" s="8" t="s">
        <v>45</v>
      </c>
      <c r="C28" s="9">
        <v>3</v>
      </c>
      <c r="D28" s="14" t="e">
        <f>IF(VLOOKUP(B28, Matriz_Resultados_Crudos!$A$1:$I$11, MATCH($D$10, Matriz_Resultados_Crudos!$A$1:$I$1, 0), FALSE)="Incluido", "" &amp; $D$10 &amp; " está incluido como una opción de tratamiento en las guías de práctica clínica de referencia, teniendo un  posicionamiento actual en el  algoritmo terapéutico.", IF(VLOOKUP(B28, Matriz_Resultados_Crudos!$A$1:$I$11, MATCH($D$10, Matriz_Resultados_Crudos!$A$1:$I$1, 0), FALSE)="No incluido", "Sin recomendación formal: La tecnología " &amp; $D$10 &amp; " no está incluida en las guías de práctica clínica de referencia para esta enfermedad, lo que evidencia una falta de consenso o adopción en los esquemas de tratamiento estándar.", "Evidencia no disponible o pendiente de actualización sobre la inclusión de " &amp; $D$10 &amp; " en guías de práctica clínica."))</f>
        <v>#N/A</v>
      </c>
      <c r="E28" s="9" t="e">
        <f>VLOOKUP(B28, Matriz_Medicamentos!$A$2:$I$11, MATCH($D$10, Matriz_Medicamentos!$A$1:$I$1, 0), FALSE)</f>
        <v>#N/A</v>
      </c>
      <c r="F28" s="9" t="e">
        <f>(C28 * (E28/5))</f>
        <v>#N/A</v>
      </c>
      <c r="G28" s="96"/>
      <c r="H28" s="10" t="e">
        <f>IF(COLUMNS($H28:H28)&lt;=$E28, 1, "")</f>
        <v>#N/A</v>
      </c>
      <c r="I28" s="10" t="e">
        <f>IF(COLUMNS($H28:I28)&lt;=$E28, 1, "")</f>
        <v>#N/A</v>
      </c>
      <c r="J28" s="10" t="e">
        <f>IF(COLUMNS($H28:J28)&lt;=$E28, 1, "")</f>
        <v>#N/A</v>
      </c>
      <c r="K28" s="10" t="e">
        <f>IF(COLUMNS($H28:K28)&lt;=$E28, 1, "")</f>
        <v>#N/A</v>
      </c>
      <c r="L28" s="10" t="e">
        <f>IF(COLUMNS($H28:L28)&lt;=$E28, 1, "")</f>
        <v>#N/A</v>
      </c>
    </row>
    <row r="29" spans="2:20">
      <c r="E29" s="3"/>
    </row>
    <row r="30" spans="2:20">
      <c r="E30" s="2" t="s">
        <v>4</v>
      </c>
      <c r="F30" s="2" t="e">
        <f>F16+F17+F19+F20+F21+F22+F24+F25+F27+F28</f>
        <v>#N/A</v>
      </c>
    </row>
    <row r="32" spans="2:20" ht="22.2" customHeight="1"/>
  </sheetData>
  <mergeCells count="11">
    <mergeCell ref="P24:R24"/>
    <mergeCell ref="G27:G28"/>
    <mergeCell ref="G16:G17"/>
    <mergeCell ref="G19:G22"/>
    <mergeCell ref="E9:F11"/>
    <mergeCell ref="E12:F12"/>
    <mergeCell ref="G24:G25"/>
    <mergeCell ref="B23:G23"/>
    <mergeCell ref="B26:G26"/>
    <mergeCell ref="B15:G15"/>
    <mergeCell ref="B18:G18"/>
  </mergeCells>
  <conditionalFormatting sqref="H15:H28">
    <cfRule type="cellIs" dxfId="4" priority="1" operator="equal">
      <formula>1</formula>
    </cfRule>
  </conditionalFormatting>
  <conditionalFormatting sqref="I15:I28">
    <cfRule type="cellIs" dxfId="3" priority="2" operator="equal">
      <formula>1</formula>
    </cfRule>
  </conditionalFormatting>
  <conditionalFormatting sqref="J15:J28">
    <cfRule type="cellIs" dxfId="2" priority="3" operator="equal">
      <formula>1</formula>
    </cfRule>
  </conditionalFormatting>
  <conditionalFormatting sqref="K15:K28">
    <cfRule type="cellIs" dxfId="1" priority="4" operator="equal">
      <formula>1</formula>
    </cfRule>
  </conditionalFormatting>
  <conditionalFormatting sqref="L15:L28">
    <cfRule type="cellIs" dxfId="0" priority="5" operator="equal">
      <formula>1</formula>
    </cfRule>
  </conditionalFormatting>
  <dataValidations count="1">
    <dataValidation type="list" allowBlank="1" showInputMessage="1" showErrorMessage="1" sqref="D10" xr:uid="{08513AEC-A891-421D-97D0-F9429D7956CE}">
      <formula1>LP_Lista_Moleculas_Seleccionadas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0A252-C9C6-4BE1-B82C-CF383873428C}">
  <sheetPr codeName="Hoja7"/>
  <dimension ref="D5:L26"/>
  <sheetViews>
    <sheetView workbookViewId="0">
      <selection activeCell="D13" sqref="D13"/>
    </sheetView>
  </sheetViews>
  <sheetFormatPr baseColWidth="10" defaultRowHeight="14.4"/>
  <cols>
    <col min="1" max="3" width="11.5546875" style="4"/>
    <col min="4" max="4" width="28.33203125" style="4" customWidth="1"/>
    <col min="5" max="5" width="21.88671875" style="4" customWidth="1"/>
    <col min="6" max="6" width="27.109375" style="4" customWidth="1"/>
    <col min="7" max="7" width="21.21875" style="4" customWidth="1"/>
    <col min="8" max="8" width="22.88671875" style="4" customWidth="1"/>
    <col min="9" max="9" width="28.6640625" style="4" customWidth="1"/>
    <col min="10" max="10" width="21.21875" style="4" customWidth="1"/>
    <col min="11" max="11" width="31.44140625" style="4" customWidth="1"/>
    <col min="12" max="12" width="19.5546875" style="4" customWidth="1"/>
    <col min="13" max="16384" width="11.5546875" style="4"/>
  </cols>
  <sheetData>
    <row r="5" spans="4:12" ht="28.8">
      <c r="D5" s="53" t="s">
        <v>136</v>
      </c>
      <c r="E5" s="53" t="s">
        <v>131</v>
      </c>
      <c r="F5" s="53" t="s">
        <v>18</v>
      </c>
      <c r="G5" s="53" t="s">
        <v>13</v>
      </c>
      <c r="H5" s="53" t="s">
        <v>43</v>
      </c>
      <c r="I5" s="53" t="s">
        <v>132</v>
      </c>
      <c r="J5" s="53" t="s">
        <v>133</v>
      </c>
      <c r="K5" s="53" t="s">
        <v>134</v>
      </c>
    </row>
    <row r="6" spans="4:12" ht="15.6">
      <c r="D6" s="56" t="s">
        <v>76</v>
      </c>
      <c r="E6" s="57">
        <v>88.29</v>
      </c>
      <c r="F6" s="57">
        <v>47.4</v>
      </c>
      <c r="G6" s="57">
        <v>54.55</v>
      </c>
      <c r="H6" s="57">
        <v>100</v>
      </c>
      <c r="I6" s="57">
        <v>66.180000000000007</v>
      </c>
      <c r="J6" s="54"/>
      <c r="K6" s="55">
        <f>J6/I6</f>
        <v>0</v>
      </c>
    </row>
    <row r="7" spans="4:12" ht="15.6">
      <c r="D7" s="56" t="s">
        <v>75</v>
      </c>
      <c r="E7" s="57">
        <v>64.86</v>
      </c>
      <c r="F7" s="57">
        <v>42.13</v>
      </c>
      <c r="G7" s="57">
        <v>54.55</v>
      </c>
      <c r="H7" s="57">
        <v>100</v>
      </c>
      <c r="I7" s="57">
        <v>55.5</v>
      </c>
      <c r="J7" s="54"/>
      <c r="K7" s="55">
        <f t="shared" ref="K7:K13" si="0">J7/I7</f>
        <v>0</v>
      </c>
    </row>
    <row r="8" spans="4:12" ht="15.6">
      <c r="D8" s="56" t="s">
        <v>74</v>
      </c>
      <c r="E8" s="57">
        <v>64.86</v>
      </c>
      <c r="F8" s="57">
        <v>76.78</v>
      </c>
      <c r="G8" s="57">
        <v>54.55</v>
      </c>
      <c r="H8" s="57">
        <v>100</v>
      </c>
      <c r="I8" s="57">
        <v>71.739999999999995</v>
      </c>
      <c r="J8" s="54"/>
      <c r="K8" s="55">
        <f t="shared" si="0"/>
        <v>0</v>
      </c>
    </row>
    <row r="9" spans="4:12" ht="15.6">
      <c r="D9" s="56" t="s">
        <v>73</v>
      </c>
      <c r="E9" s="57">
        <v>48.29</v>
      </c>
      <c r="F9" s="57">
        <v>100</v>
      </c>
      <c r="G9" s="57">
        <v>54.55</v>
      </c>
      <c r="H9" s="57">
        <v>100</v>
      </c>
      <c r="I9" s="57">
        <v>76.900000000000006</v>
      </c>
      <c r="J9" s="54"/>
      <c r="K9" s="55">
        <f t="shared" si="0"/>
        <v>0</v>
      </c>
    </row>
    <row r="10" spans="4:12" ht="15.6">
      <c r="D10" s="56" t="s">
        <v>86</v>
      </c>
      <c r="E10" s="57">
        <v>48.29</v>
      </c>
      <c r="F10" s="57">
        <v>71.91</v>
      </c>
      <c r="G10" s="57">
        <v>54.55</v>
      </c>
      <c r="H10" s="57">
        <v>100</v>
      </c>
      <c r="I10" s="57">
        <v>63.7</v>
      </c>
      <c r="J10" s="54"/>
      <c r="K10" s="55">
        <f t="shared" si="0"/>
        <v>0</v>
      </c>
    </row>
    <row r="11" spans="4:12" ht="15.6">
      <c r="D11" s="56" t="s">
        <v>82</v>
      </c>
      <c r="E11" s="57">
        <v>48.29</v>
      </c>
      <c r="F11" s="57">
        <v>43.32</v>
      </c>
      <c r="G11" s="57">
        <v>54.55</v>
      </c>
      <c r="H11" s="57">
        <v>100</v>
      </c>
      <c r="I11" s="57">
        <v>50.26</v>
      </c>
      <c r="J11" s="54"/>
      <c r="K11" s="55">
        <f t="shared" si="0"/>
        <v>0</v>
      </c>
    </row>
    <row r="12" spans="4:12" ht="15.6">
      <c r="D12" s="56" t="s">
        <v>87</v>
      </c>
      <c r="E12" s="57">
        <v>88.29</v>
      </c>
      <c r="F12" s="57">
        <v>43.32</v>
      </c>
      <c r="G12" s="57">
        <v>0</v>
      </c>
      <c r="H12" s="57">
        <v>100</v>
      </c>
      <c r="I12" s="57">
        <v>58.26</v>
      </c>
      <c r="J12" s="54"/>
      <c r="K12" s="55">
        <f t="shared" si="0"/>
        <v>0</v>
      </c>
    </row>
    <row r="13" spans="4:12" ht="15.6">
      <c r="D13" s="56" t="s">
        <v>159</v>
      </c>
      <c r="E13" s="57">
        <v>88.29</v>
      </c>
      <c r="F13" s="57">
        <v>66.64</v>
      </c>
      <c r="G13" s="57">
        <v>100</v>
      </c>
      <c r="H13" s="57">
        <v>100</v>
      </c>
      <c r="I13" s="57">
        <v>80.22</v>
      </c>
      <c r="J13" s="54"/>
      <c r="K13" s="55">
        <f t="shared" si="0"/>
        <v>0</v>
      </c>
    </row>
    <row r="16" spans="4:12">
      <c r="D16" s="4" t="str">
        <f>[2]Matriz_Medicamentos!A1</f>
        <v>Criterio</v>
      </c>
      <c r="E16" s="56" t="s">
        <v>76</v>
      </c>
      <c r="F16" s="56" t="s">
        <v>75</v>
      </c>
      <c r="G16" s="56" t="s">
        <v>74</v>
      </c>
      <c r="H16" s="56" t="s">
        <v>73</v>
      </c>
      <c r="I16" s="56" t="s">
        <v>86</v>
      </c>
      <c r="J16" s="56" t="s">
        <v>82</v>
      </c>
      <c r="K16" s="56" t="s">
        <v>87</v>
      </c>
      <c r="L16" s="56" t="s">
        <v>159</v>
      </c>
    </row>
    <row r="17" spans="4:12">
      <c r="D17" s="4" t="str">
        <f>[2]Matriz_Medicamentos!A2</f>
        <v>Cambio medio en la agudeza visual corregida (BCVA)</v>
      </c>
      <c r="E17" s="4" cm="1">
        <f t="array" ref="E17:E26">_xlfn.ANCHORARRAY(Matriz_Medicamentos!H2)</f>
        <v>4</v>
      </c>
      <c r="F17" s="4" cm="1">
        <f t="array" ref="F17:F26">_xlfn.ANCHORARRAY(Matriz_Medicamentos!G2)</f>
        <v>2</v>
      </c>
      <c r="G17" s="4" cm="1">
        <f t="array" ref="G17:G26">Matriz_Medicamentos!F2:F11</f>
        <v>2</v>
      </c>
      <c r="H17" s="4" cm="1">
        <f t="array" ref="H17:H26">_xlfn.ANCHORARRAY(Matriz_Medicamentos!D2)</f>
        <v>2</v>
      </c>
      <c r="I17" s="4" cm="1">
        <f t="array" ref="I17:I26">_xlfn.ANCHORARRAY(Matriz_Medicamentos!I2)</f>
        <v>2</v>
      </c>
      <c r="J17" s="4" cm="1">
        <f t="array" ref="J17:J26">_xlfn.ANCHORARRAY(Matriz_Medicamentos!E2)</f>
        <v>2</v>
      </c>
      <c r="K17" s="4" cm="1">
        <f t="array" ref="K17:K26">_xlfn.ANCHORARRAY(Matriz_Medicamentos!C2)</f>
        <v>4</v>
      </c>
      <c r="L17" s="4" cm="1">
        <f t="array" ref="L17:L26">_xlfn.ANCHORARRAY(Matriz_Medicamentos!B2)</f>
        <v>4</v>
      </c>
    </row>
    <row r="18" spans="4:12">
      <c r="D18" s="4" t="str">
        <f>[2]Matriz_Medicamentos!A3</f>
        <v>Pacientes con ganancia ≥15 letras en BCVA</v>
      </c>
      <c r="E18" s="4">
        <v>5</v>
      </c>
      <c r="F18" s="4">
        <v>5</v>
      </c>
      <c r="G18" s="4">
        <v>5</v>
      </c>
      <c r="H18" s="4">
        <v>3</v>
      </c>
      <c r="I18" s="4">
        <v>3</v>
      </c>
      <c r="J18" s="4">
        <v>3</v>
      </c>
      <c r="K18" s="4">
        <v>5</v>
      </c>
      <c r="L18" s="4">
        <v>5</v>
      </c>
    </row>
    <row r="19" spans="4:12">
      <c r="D19" s="4" t="str">
        <f>[2]Matriz_Medicamentos!A4</f>
        <v xml:space="preserve">Desprendimiento de retina </v>
      </c>
      <c r="E19" s="4">
        <v>5</v>
      </c>
      <c r="F19" s="4">
        <v>1</v>
      </c>
      <c r="G19" s="4">
        <v>5</v>
      </c>
      <c r="H19" s="4">
        <v>5</v>
      </c>
      <c r="I19" s="4">
        <v>5</v>
      </c>
      <c r="J19" s="4">
        <v>1</v>
      </c>
      <c r="K19" s="4">
        <v>1</v>
      </c>
      <c r="L19" s="4">
        <v>1</v>
      </c>
    </row>
    <row r="20" spans="4:12">
      <c r="D20" s="4" t="str">
        <f>[2]Matriz_Medicamentos!A5</f>
        <v>Infarto agudo de miocardio</v>
      </c>
      <c r="E20" s="4">
        <v>1</v>
      </c>
      <c r="F20" s="4">
        <v>1</v>
      </c>
      <c r="G20" s="4">
        <v>1</v>
      </c>
      <c r="H20" s="4">
        <v>5</v>
      </c>
      <c r="I20" s="4">
        <v>1</v>
      </c>
      <c r="J20" s="4">
        <v>1</v>
      </c>
      <c r="K20" s="4">
        <v>1</v>
      </c>
      <c r="L20" s="4">
        <v>5</v>
      </c>
    </row>
    <row r="21" spans="4:12">
      <c r="D21" s="4" t="str">
        <f>[2]Matriz_Medicamentos!A6</f>
        <v>Endoftalmitis</v>
      </c>
      <c r="E21" s="4">
        <v>1</v>
      </c>
      <c r="F21" s="4">
        <v>5</v>
      </c>
      <c r="G21" s="4">
        <v>5</v>
      </c>
      <c r="H21" s="4">
        <v>5</v>
      </c>
      <c r="I21" s="4">
        <v>5</v>
      </c>
      <c r="J21" s="4">
        <v>5</v>
      </c>
      <c r="K21" s="4">
        <v>5</v>
      </c>
      <c r="L21" s="4">
        <v>5</v>
      </c>
    </row>
    <row r="22" spans="4:12">
      <c r="D22" s="4" t="str">
        <f>[2]Matriz_Medicamentos!A7</f>
        <v>Supresión sistémica de VEGF</v>
      </c>
      <c r="E22" s="4">
        <v>0</v>
      </c>
      <c r="F22" s="4">
        <v>0</v>
      </c>
      <c r="G22" s="4">
        <v>5</v>
      </c>
      <c r="H22" s="4">
        <v>5</v>
      </c>
      <c r="I22" s="4">
        <v>1</v>
      </c>
      <c r="J22" s="4">
        <v>1</v>
      </c>
      <c r="K22" s="4">
        <v>1</v>
      </c>
      <c r="L22" s="4">
        <v>1</v>
      </c>
    </row>
    <row r="23" spans="4:12">
      <c r="D23" s="4" t="str">
        <f>[2]Matriz_Medicamentos!A8</f>
        <v>Calidad de vida relacionada con la salud</v>
      </c>
      <c r="E23" s="4">
        <v>5</v>
      </c>
      <c r="F23" s="4">
        <v>5</v>
      </c>
      <c r="G23" s="4">
        <v>5</v>
      </c>
      <c r="H23" s="4">
        <v>5</v>
      </c>
      <c r="I23" s="4">
        <v>5</v>
      </c>
      <c r="J23" s="4">
        <v>5</v>
      </c>
      <c r="K23" s="4">
        <v>0</v>
      </c>
      <c r="L23" s="4">
        <v>5</v>
      </c>
    </row>
    <row r="24" spans="4:12">
      <c r="D24" s="4" t="str">
        <f>[2]Matriz_Medicamentos!A9</f>
        <v>Discapacidad / capacidad funcional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5</v>
      </c>
    </row>
    <row r="25" spans="4:12">
      <c r="D25" s="4" t="str">
        <f>[2]Matriz_Medicamentos!A10</f>
        <v>Estado de aprobación regulatoria</v>
      </c>
      <c r="E25" s="4">
        <v>5</v>
      </c>
      <c r="F25" s="4">
        <v>5</v>
      </c>
      <c r="G25" s="4">
        <v>5</v>
      </c>
      <c r="H25" s="4">
        <v>5</v>
      </c>
      <c r="I25" s="4">
        <v>5</v>
      </c>
      <c r="J25" s="4">
        <v>5</v>
      </c>
      <c r="K25" s="4">
        <v>5</v>
      </c>
      <c r="L25" s="4">
        <v>5</v>
      </c>
    </row>
    <row r="26" spans="4:12">
      <c r="D26" s="4" t="str">
        <f>[2]Matriz_Medicamentos!A11</f>
        <v>Inclusión en guías de práctica clínica</v>
      </c>
      <c r="E26" s="4">
        <v>5</v>
      </c>
      <c r="F26" s="4">
        <v>5</v>
      </c>
      <c r="G26" s="4">
        <v>5</v>
      </c>
      <c r="H26" s="4">
        <v>5</v>
      </c>
      <c r="I26" s="4">
        <v>5</v>
      </c>
      <c r="J26" s="4">
        <v>5</v>
      </c>
      <c r="K26" s="4">
        <v>5</v>
      </c>
      <c r="L26" s="4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9D-0D63-4AE9-BE3E-BDEC26FD2207}">
  <sheetPr codeName="Hoja8">
    <pageSetUpPr fitToPage="1"/>
  </sheetPr>
  <dimension ref="A1:BK38"/>
  <sheetViews>
    <sheetView tabSelected="1" topLeftCell="A23" zoomScale="70" zoomScaleNormal="70" workbookViewId="0">
      <pane xSplit="1" topLeftCell="B1" activePane="topRight" state="frozen"/>
      <selection pane="topRight" activeCell="E43" sqref="E43"/>
    </sheetView>
  </sheetViews>
  <sheetFormatPr baseColWidth="10" defaultRowHeight="14.4"/>
  <cols>
    <col min="1" max="1" width="44.6640625" style="4" customWidth="1"/>
    <col min="2" max="2" width="0.88671875" style="4" customWidth="1"/>
    <col min="3" max="3" width="11.5546875" style="4"/>
    <col min="4" max="8" width="10.88671875" style="4" customWidth="1"/>
    <col min="9" max="10" width="10.88671875" style="4" hidden="1" customWidth="1"/>
    <col min="11" max="16" width="10.88671875" style="4" customWidth="1"/>
    <col min="17" max="17" width="10.88671875" style="4" hidden="1" customWidth="1"/>
    <col min="18" max="23" width="10.88671875" style="4" customWidth="1"/>
    <col min="24" max="24" width="8.109375" style="4" hidden="1" customWidth="1"/>
    <col min="25" max="30" width="10.88671875" style="4" customWidth="1"/>
    <col min="31" max="31" width="10.88671875" style="4" hidden="1" customWidth="1"/>
    <col min="32" max="37" width="10.88671875" style="4" customWidth="1"/>
    <col min="38" max="38" width="6" style="4" hidden="1" customWidth="1"/>
    <col min="39" max="44" width="10.88671875" style="4" customWidth="1"/>
    <col min="45" max="45" width="6.88671875" style="4" hidden="1" customWidth="1"/>
    <col min="46" max="51" width="10.88671875" style="4" customWidth="1"/>
    <col min="52" max="52" width="10.88671875" style="4" hidden="1" customWidth="1"/>
    <col min="53" max="54" width="8" style="4" customWidth="1"/>
    <col min="55" max="55" width="6.33203125" style="4" hidden="1" customWidth="1"/>
    <col min="56" max="56" width="10.5546875" style="4" customWidth="1"/>
    <col min="57" max="58" width="8" style="4" customWidth="1"/>
    <col min="59" max="59" width="17.21875" style="4" customWidth="1"/>
    <col min="60" max="62" width="8" style="4" customWidth="1"/>
    <col min="63" max="63" width="15.33203125" style="4" bestFit="1" customWidth="1"/>
    <col min="64" max="16384" width="11.5546875" style="4"/>
  </cols>
  <sheetData>
    <row r="1" spans="1:63">
      <c r="O1" s="4">
        <v>2</v>
      </c>
      <c r="AI1" s="4">
        <v>4</v>
      </c>
      <c r="BK1" s="4">
        <v>8</v>
      </c>
    </row>
    <row r="9" spans="1:63" ht="25.8" customHeight="1">
      <c r="A9" s="63" t="s">
        <v>129</v>
      </c>
      <c r="C9" s="36"/>
      <c r="D9" s="83" t="s">
        <v>76</v>
      </c>
      <c r="E9" s="83"/>
      <c r="F9" s="83"/>
      <c r="G9" s="83"/>
      <c r="H9" s="36"/>
      <c r="I9" s="36"/>
      <c r="J9" s="36"/>
      <c r="K9" s="36"/>
      <c r="L9" s="36"/>
      <c r="M9" s="83" t="s">
        <v>75</v>
      </c>
      <c r="N9" s="83"/>
      <c r="O9" s="83"/>
      <c r="P9" s="84"/>
      <c r="Q9" s="36"/>
      <c r="R9" s="36"/>
      <c r="S9" s="36"/>
      <c r="T9" s="83" t="s">
        <v>74</v>
      </c>
      <c r="U9" s="83"/>
      <c r="V9" s="83"/>
      <c r="W9" s="83"/>
      <c r="X9" s="36"/>
      <c r="Y9" s="36"/>
      <c r="Z9" s="36"/>
      <c r="AA9" s="83" t="s">
        <v>73</v>
      </c>
      <c r="AB9" s="83"/>
      <c r="AC9" s="83"/>
      <c r="AD9" s="83"/>
      <c r="AE9" s="36"/>
      <c r="AF9" s="36"/>
      <c r="AG9" s="36"/>
      <c r="AH9" s="83" t="s">
        <v>86</v>
      </c>
      <c r="AI9" s="83"/>
      <c r="AJ9" s="83"/>
      <c r="AK9" s="83"/>
      <c r="AL9" s="36"/>
      <c r="AM9" s="36"/>
      <c r="AN9" s="36"/>
      <c r="AO9" s="85" t="s">
        <v>82</v>
      </c>
      <c r="AP9" s="85"/>
      <c r="AQ9" s="85"/>
      <c r="AR9" s="85"/>
      <c r="AS9" s="42"/>
      <c r="AT9" s="42"/>
      <c r="AU9" s="43" t="s">
        <v>130</v>
      </c>
      <c r="AV9" s="83" t="s">
        <v>87</v>
      </c>
      <c r="AW9" s="83"/>
      <c r="AX9" s="83"/>
      <c r="AY9" s="83"/>
      <c r="AZ9" s="44"/>
      <c r="BD9" s="83" t="s">
        <v>159</v>
      </c>
      <c r="BE9" s="83"/>
      <c r="BF9" s="83"/>
      <c r="BG9" s="83"/>
    </row>
    <row r="10" spans="1:63" s="45" customFormat="1" ht="22.2" customHeight="1"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</row>
    <row r="11" spans="1:63" s="45" customFormat="1" ht="22.2" customHeight="1">
      <c r="A11" s="63" t="s">
        <v>131</v>
      </c>
      <c r="C11" s="46"/>
      <c r="D11" s="80">
        <f>T_results!E6</f>
        <v>88.29</v>
      </c>
      <c r="E11" s="81"/>
      <c r="F11" s="81"/>
      <c r="G11" s="82"/>
      <c r="H11" s="46"/>
      <c r="I11" s="46"/>
      <c r="J11" s="46"/>
      <c r="K11" s="46"/>
      <c r="L11" s="46"/>
      <c r="M11" s="86">
        <f>T_results!E7</f>
        <v>64.86</v>
      </c>
      <c r="N11" s="86"/>
      <c r="O11" s="86"/>
      <c r="P11" s="86"/>
      <c r="Q11" s="46"/>
      <c r="R11" s="46"/>
      <c r="S11" s="46"/>
      <c r="T11" s="80">
        <f>T_results!E8</f>
        <v>64.86</v>
      </c>
      <c r="U11" s="81"/>
      <c r="V11" s="81"/>
      <c r="W11" s="82"/>
      <c r="X11" s="46"/>
      <c r="Y11" s="46"/>
      <c r="Z11" s="46"/>
      <c r="AA11" s="80">
        <f>T_results!E9</f>
        <v>48.29</v>
      </c>
      <c r="AB11" s="81"/>
      <c r="AC11" s="81"/>
      <c r="AD11" s="82"/>
      <c r="AE11" s="46"/>
      <c r="AF11" s="46"/>
      <c r="AG11" s="46"/>
      <c r="AH11" s="80">
        <f>T_results!E10</f>
        <v>48.29</v>
      </c>
      <c r="AI11" s="81"/>
      <c r="AJ11" s="81"/>
      <c r="AK11" s="82"/>
      <c r="AL11" s="46"/>
      <c r="AM11" s="46"/>
      <c r="AN11" s="46"/>
      <c r="AO11" s="80">
        <f>T_results!E11</f>
        <v>48.29</v>
      </c>
      <c r="AP11" s="81"/>
      <c r="AQ11" s="81"/>
      <c r="AR11" s="82"/>
      <c r="AS11" s="48"/>
      <c r="AT11" s="58"/>
      <c r="AU11" s="46"/>
      <c r="AV11" s="80">
        <f>T_results!E12</f>
        <v>88.29</v>
      </c>
      <c r="AW11" s="81"/>
      <c r="AX11" s="81"/>
      <c r="AY11" s="82"/>
      <c r="BD11" s="80">
        <f>T_results!E13</f>
        <v>88.29</v>
      </c>
      <c r="BE11" s="81"/>
      <c r="BF11" s="81"/>
      <c r="BG11" s="82"/>
    </row>
    <row r="12" spans="1:63" s="45" customFormat="1" ht="4.8" customHeight="1">
      <c r="C12" s="46"/>
      <c r="D12" s="46"/>
      <c r="E12" s="47"/>
      <c r="F12" s="47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</row>
    <row r="13" spans="1:63" s="45" customFormat="1" ht="24.6" customHeight="1">
      <c r="A13" s="63" t="s">
        <v>18</v>
      </c>
      <c r="C13" s="46"/>
      <c r="D13" s="80">
        <f>T_results!F6</f>
        <v>47.4</v>
      </c>
      <c r="E13" s="81"/>
      <c r="F13" s="81"/>
      <c r="G13" s="82"/>
      <c r="H13" s="46"/>
      <c r="I13" s="46"/>
      <c r="J13" s="46"/>
      <c r="K13" s="46"/>
      <c r="L13" s="46"/>
      <c r="M13" s="86">
        <f>T_results!F7</f>
        <v>42.13</v>
      </c>
      <c r="N13" s="86"/>
      <c r="O13" s="86"/>
      <c r="P13" s="86"/>
      <c r="Q13" s="46"/>
      <c r="R13" s="46"/>
      <c r="S13" s="46"/>
      <c r="T13" s="80">
        <f>T_results!F8</f>
        <v>76.78</v>
      </c>
      <c r="U13" s="81"/>
      <c r="V13" s="81"/>
      <c r="W13" s="82"/>
      <c r="X13" s="46"/>
      <c r="Y13" s="46"/>
      <c r="Z13" s="46"/>
      <c r="AA13" s="80">
        <f>T_results!F9</f>
        <v>100</v>
      </c>
      <c r="AB13" s="81"/>
      <c r="AC13" s="81"/>
      <c r="AD13" s="82"/>
      <c r="AE13" s="46"/>
      <c r="AF13" s="46"/>
      <c r="AG13" s="46"/>
      <c r="AH13" s="80">
        <f>T_results!F10</f>
        <v>71.91</v>
      </c>
      <c r="AI13" s="81"/>
      <c r="AJ13" s="81"/>
      <c r="AK13" s="82"/>
      <c r="AL13" s="46"/>
      <c r="AM13" s="46"/>
      <c r="AN13" s="46"/>
      <c r="AO13" s="80">
        <f>T_results!F11</f>
        <v>43.32</v>
      </c>
      <c r="AP13" s="81"/>
      <c r="AQ13" s="81"/>
      <c r="AR13" s="82"/>
      <c r="AS13" s="48"/>
      <c r="AT13" s="48"/>
      <c r="AU13" s="46"/>
      <c r="AV13" s="80">
        <f>T_results!F12</f>
        <v>43.32</v>
      </c>
      <c r="AW13" s="81"/>
      <c r="AX13" s="81"/>
      <c r="AY13" s="82"/>
      <c r="BD13" s="80">
        <f>T_results!F13</f>
        <v>66.64</v>
      </c>
      <c r="BE13" s="81"/>
      <c r="BF13" s="81"/>
      <c r="BG13" s="82"/>
    </row>
    <row r="14" spans="1:63" s="45" customFormat="1" ht="8.4" customHeight="1">
      <c r="C14" s="46"/>
      <c r="D14" s="46"/>
      <c r="E14" s="47"/>
      <c r="F14" s="47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8"/>
      <c r="AB14" s="48"/>
      <c r="AC14" s="48"/>
      <c r="AD14" s="48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</row>
    <row r="15" spans="1:63" s="45" customFormat="1" ht="22.2" customHeight="1">
      <c r="A15" s="63" t="s">
        <v>13</v>
      </c>
      <c r="C15" s="46"/>
      <c r="D15" s="80">
        <f>T_results!G6</f>
        <v>54.55</v>
      </c>
      <c r="E15" s="81"/>
      <c r="F15" s="81"/>
      <c r="G15" s="82"/>
      <c r="H15" s="46"/>
      <c r="I15" s="46"/>
      <c r="J15" s="46"/>
      <c r="K15" s="46"/>
      <c r="L15" s="46"/>
      <c r="M15" s="86">
        <f>T_results!G7</f>
        <v>54.55</v>
      </c>
      <c r="N15" s="86"/>
      <c r="O15" s="86"/>
      <c r="P15" s="86"/>
      <c r="Q15" s="46"/>
      <c r="R15" s="46"/>
      <c r="S15" s="46"/>
      <c r="T15" s="80">
        <f>T_results!G8</f>
        <v>54.55</v>
      </c>
      <c r="U15" s="81"/>
      <c r="V15" s="81"/>
      <c r="W15" s="82"/>
      <c r="X15" s="46"/>
      <c r="Y15" s="46"/>
      <c r="Z15" s="46"/>
      <c r="AA15" s="86">
        <f>T_results!G8</f>
        <v>54.55</v>
      </c>
      <c r="AB15" s="86"/>
      <c r="AC15" s="86"/>
      <c r="AD15" s="86"/>
      <c r="AE15" s="46"/>
      <c r="AF15" s="46"/>
      <c r="AG15" s="46"/>
      <c r="AH15" s="80">
        <f>T_results!G10</f>
        <v>54.55</v>
      </c>
      <c r="AI15" s="81"/>
      <c r="AJ15" s="81"/>
      <c r="AK15" s="82"/>
      <c r="AL15" s="46"/>
      <c r="AM15" s="46"/>
      <c r="AN15" s="46"/>
      <c r="AO15" s="80">
        <f>T_results!G11</f>
        <v>54.55</v>
      </c>
      <c r="AP15" s="81"/>
      <c r="AQ15" s="81"/>
      <c r="AR15" s="82"/>
      <c r="AS15" s="58"/>
      <c r="AT15" s="58"/>
      <c r="AU15" s="46"/>
      <c r="AV15" s="80">
        <f>T_results!G12</f>
        <v>0</v>
      </c>
      <c r="AW15" s="81"/>
      <c r="AX15" s="81"/>
      <c r="AY15" s="82"/>
      <c r="BD15" s="80">
        <f>T_results!G13</f>
        <v>100</v>
      </c>
      <c r="BE15" s="81"/>
      <c r="BF15" s="81"/>
      <c r="BG15" s="82"/>
    </row>
    <row r="16" spans="1:63" s="45" customFormat="1" ht="8.4" customHeight="1">
      <c r="C16" s="46"/>
      <c r="D16" s="46"/>
      <c r="E16" s="47"/>
      <c r="F16" s="47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</row>
    <row r="17" spans="1:60" s="45" customFormat="1" ht="22.2" customHeight="1">
      <c r="A17" s="63" t="s">
        <v>43</v>
      </c>
      <c r="C17" s="46"/>
      <c r="D17" s="80">
        <f>T_results!H6</f>
        <v>100</v>
      </c>
      <c r="E17" s="81"/>
      <c r="F17" s="81"/>
      <c r="G17" s="82"/>
      <c r="H17" s="46"/>
      <c r="I17" s="46"/>
      <c r="J17" s="46"/>
      <c r="K17" s="46"/>
      <c r="L17" s="46"/>
      <c r="M17" s="86">
        <f>T_results!H7</f>
        <v>100</v>
      </c>
      <c r="N17" s="86"/>
      <c r="O17" s="86"/>
      <c r="P17" s="86"/>
      <c r="Q17" s="46"/>
      <c r="R17" s="46"/>
      <c r="S17" s="46"/>
      <c r="T17" s="80">
        <f>T_results!H8</f>
        <v>100</v>
      </c>
      <c r="U17" s="81"/>
      <c r="V17" s="81"/>
      <c r="W17" s="82"/>
      <c r="X17" s="46"/>
      <c r="Y17" s="46"/>
      <c r="Z17" s="46"/>
      <c r="AA17" s="86">
        <f>T_results!H9</f>
        <v>100</v>
      </c>
      <c r="AB17" s="86"/>
      <c r="AC17" s="86"/>
      <c r="AD17" s="86"/>
      <c r="AE17" s="46"/>
      <c r="AF17" s="46"/>
      <c r="AG17" s="46"/>
      <c r="AH17" s="80">
        <f>T_results!H10</f>
        <v>100</v>
      </c>
      <c r="AI17" s="81"/>
      <c r="AJ17" s="81"/>
      <c r="AK17" s="82"/>
      <c r="AL17" s="46"/>
      <c r="AM17" s="46"/>
      <c r="AN17" s="46"/>
      <c r="AO17" s="80">
        <f>T_results!H11</f>
        <v>100</v>
      </c>
      <c r="AP17" s="81"/>
      <c r="AQ17" s="81"/>
      <c r="AR17" s="82"/>
      <c r="AS17" s="48"/>
      <c r="AT17" s="48"/>
      <c r="AU17" s="46"/>
      <c r="AV17" s="80">
        <f>T_results!H12</f>
        <v>100</v>
      </c>
      <c r="AW17" s="81"/>
      <c r="AX17" s="81"/>
      <c r="AY17" s="82"/>
      <c r="BD17" s="80">
        <f>T_results!H13</f>
        <v>100</v>
      </c>
      <c r="BE17" s="81"/>
      <c r="BF17" s="81"/>
      <c r="BG17" s="82"/>
    </row>
    <row r="18" spans="1:60" s="45" customFormat="1" ht="8.4" customHeight="1">
      <c r="C18" s="46"/>
      <c r="D18" s="46"/>
      <c r="E18" s="47"/>
      <c r="F18" s="47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</row>
    <row r="19" spans="1:60" s="45" customFormat="1" ht="22.2" customHeight="1">
      <c r="A19" s="63" t="s">
        <v>132</v>
      </c>
      <c r="C19" s="46"/>
      <c r="D19" s="80">
        <f>T_results!I6</f>
        <v>66.180000000000007</v>
      </c>
      <c r="E19" s="81"/>
      <c r="F19" s="81"/>
      <c r="G19" s="82"/>
      <c r="H19" s="46"/>
      <c r="I19" s="46"/>
      <c r="J19" s="46"/>
      <c r="K19" s="46"/>
      <c r="L19" s="46"/>
      <c r="M19" s="86">
        <f>T_results!I7</f>
        <v>55.5</v>
      </c>
      <c r="N19" s="86"/>
      <c r="O19" s="86"/>
      <c r="P19" s="86"/>
      <c r="Q19" s="46"/>
      <c r="R19" s="46"/>
      <c r="S19" s="46"/>
      <c r="T19" s="80">
        <f>T_results!I8</f>
        <v>71.739999999999995</v>
      </c>
      <c r="U19" s="81"/>
      <c r="V19" s="81"/>
      <c r="W19" s="82"/>
      <c r="X19" s="46"/>
      <c r="Y19" s="46"/>
      <c r="Z19" s="46"/>
      <c r="AA19" s="86">
        <f>T_results!I9</f>
        <v>76.900000000000006</v>
      </c>
      <c r="AB19" s="86"/>
      <c r="AC19" s="86"/>
      <c r="AD19" s="86"/>
      <c r="AE19" s="46"/>
      <c r="AF19" s="46"/>
      <c r="AG19" s="46"/>
      <c r="AH19" s="80">
        <f>T_results!I10</f>
        <v>63.7</v>
      </c>
      <c r="AI19" s="81"/>
      <c r="AJ19" s="81"/>
      <c r="AK19" s="82"/>
      <c r="AL19" s="46"/>
      <c r="AM19" s="46"/>
      <c r="AN19" s="46"/>
      <c r="AO19" s="80">
        <f>T_results!I11</f>
        <v>50.26</v>
      </c>
      <c r="AP19" s="81"/>
      <c r="AQ19" s="81"/>
      <c r="AR19" s="82"/>
      <c r="AS19" s="48"/>
      <c r="AT19" s="48"/>
      <c r="AU19" s="46"/>
      <c r="AV19" s="80">
        <f>T_results!I12</f>
        <v>58.26</v>
      </c>
      <c r="AW19" s="81"/>
      <c r="AX19" s="81"/>
      <c r="AY19" s="82"/>
      <c r="BD19" s="80">
        <f>T_results!I13</f>
        <v>80.22</v>
      </c>
      <c r="BE19" s="81"/>
      <c r="BF19" s="81"/>
      <c r="BG19" s="82"/>
    </row>
    <row r="20" spans="1:60" s="45" customFormat="1" ht="8.4" customHeight="1">
      <c r="C20" s="46"/>
      <c r="D20" s="46"/>
      <c r="E20" s="47"/>
      <c r="F20" s="47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</row>
    <row r="21" spans="1:60" s="45" customFormat="1" ht="22.2" customHeight="1">
      <c r="A21" s="63" t="s">
        <v>133</v>
      </c>
      <c r="C21" s="46"/>
      <c r="D21" s="87">
        <f>Input_costo2!Q9</f>
        <v>34884376</v>
      </c>
      <c r="E21" s="88"/>
      <c r="F21" s="88"/>
      <c r="G21" s="89"/>
      <c r="H21" s="46"/>
      <c r="I21" s="46"/>
      <c r="J21" s="46"/>
      <c r="K21" s="46"/>
      <c r="L21" s="46"/>
      <c r="M21" s="87">
        <f>Input_costo2!Q11</f>
        <v>34884376</v>
      </c>
      <c r="N21" s="88"/>
      <c r="O21" s="88"/>
      <c r="P21" s="89"/>
      <c r="Q21" s="46"/>
      <c r="R21" s="46"/>
      <c r="S21" s="46"/>
      <c r="T21" s="87">
        <f>Input_costo2!Q13</f>
        <v>25280374</v>
      </c>
      <c r="U21" s="88"/>
      <c r="V21" s="88"/>
      <c r="W21" s="89"/>
      <c r="X21" s="46"/>
      <c r="Y21" s="46"/>
      <c r="Z21" s="46"/>
      <c r="AA21" s="87">
        <f>Input_costo2!Q15</f>
        <v>25280374</v>
      </c>
      <c r="AB21" s="88"/>
      <c r="AC21" s="88"/>
      <c r="AD21" s="89"/>
      <c r="AE21" s="46"/>
      <c r="AF21" s="46"/>
      <c r="AG21" s="46"/>
      <c r="AH21" s="87">
        <f>Input_costo2!Q17</f>
        <v>23309142</v>
      </c>
      <c r="AI21" s="88"/>
      <c r="AJ21" s="88"/>
      <c r="AK21" s="89"/>
      <c r="AL21" s="46"/>
      <c r="AM21" s="46"/>
      <c r="AN21" s="46"/>
      <c r="AO21" s="87">
        <f>Input_costo2!Q19</f>
        <v>19424285</v>
      </c>
      <c r="AP21" s="88"/>
      <c r="AQ21" s="88"/>
      <c r="AR21" s="89"/>
      <c r="AS21" s="59"/>
      <c r="AT21" s="59"/>
      <c r="AU21" s="46"/>
      <c r="AV21" s="87">
        <f>Input_costo2!Q21</f>
        <v>34963713</v>
      </c>
      <c r="AW21" s="88"/>
      <c r="AX21" s="88"/>
      <c r="AY21" s="89"/>
      <c r="BD21" s="87">
        <f>Input_costo2!Q23</f>
        <v>34963713</v>
      </c>
      <c r="BE21" s="88"/>
      <c r="BF21" s="88"/>
      <c r="BG21" s="89"/>
    </row>
    <row r="22" spans="1:60" s="45" customFormat="1" ht="8.4" customHeight="1">
      <c r="C22" s="46"/>
      <c r="D22" s="46"/>
      <c r="E22" s="49"/>
      <c r="F22" s="49"/>
      <c r="G22" s="46"/>
      <c r="H22" s="46"/>
      <c r="I22" s="46"/>
      <c r="J22" s="46"/>
      <c r="K22" s="46"/>
      <c r="L22" s="46"/>
      <c r="M22" s="47"/>
      <c r="N22" s="47"/>
      <c r="O22" s="47"/>
      <c r="P22" s="47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7"/>
      <c r="AC22" s="47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</row>
    <row r="23" spans="1:60" s="45" customFormat="1" ht="22.2" customHeight="1">
      <c r="A23" s="63" t="s">
        <v>134</v>
      </c>
      <c r="C23" s="46"/>
      <c r="D23" s="50"/>
      <c r="E23" s="90">
        <f>D21/D19</f>
        <v>527113.56905409484</v>
      </c>
      <c r="F23" s="90"/>
      <c r="G23" s="51"/>
      <c r="H23" s="46"/>
      <c r="I23" s="46"/>
      <c r="J23" s="46"/>
      <c r="K23" s="46"/>
      <c r="L23" s="46"/>
      <c r="M23" s="91">
        <f>M21/M19</f>
        <v>628547.31531531527</v>
      </c>
      <c r="N23" s="92"/>
      <c r="O23" s="92"/>
      <c r="P23" s="93"/>
      <c r="Q23" s="46"/>
      <c r="R23" s="46"/>
      <c r="S23" s="46"/>
      <c r="T23" s="87">
        <f>T21/T19</f>
        <v>352388.82074156677</v>
      </c>
      <c r="U23" s="88"/>
      <c r="V23" s="88"/>
      <c r="W23" s="89"/>
      <c r="X23" s="46"/>
      <c r="Y23" s="46"/>
      <c r="Z23" s="46"/>
      <c r="AA23" s="87">
        <f>AA21/AA19</f>
        <v>328743.4850455136</v>
      </c>
      <c r="AB23" s="88"/>
      <c r="AC23" s="88"/>
      <c r="AD23" s="89"/>
      <c r="AE23" s="46"/>
      <c r="AF23" s="46"/>
      <c r="AG23" s="46"/>
      <c r="AH23" s="87">
        <f>AH21/AH19</f>
        <v>365920.59654631082</v>
      </c>
      <c r="AI23" s="88"/>
      <c r="AJ23" s="88"/>
      <c r="AK23" s="89"/>
      <c r="AL23" s="46"/>
      <c r="AM23" s="46"/>
      <c r="AN23" s="46"/>
      <c r="AO23" s="87">
        <f>AO21/AO19</f>
        <v>386476.02467170713</v>
      </c>
      <c r="AP23" s="88"/>
      <c r="AQ23" s="88"/>
      <c r="AR23" s="89"/>
      <c r="AS23" s="60"/>
      <c r="AT23" s="60"/>
      <c r="AU23" s="46"/>
      <c r="AV23" s="87">
        <f>AV21/AV19</f>
        <v>600132.38928939239</v>
      </c>
      <c r="AW23" s="88"/>
      <c r="AX23" s="88"/>
      <c r="AY23" s="89"/>
      <c r="BD23" s="87">
        <f>BD21/BD19</f>
        <v>435847.83096484665</v>
      </c>
      <c r="BE23" s="88"/>
      <c r="BF23" s="88"/>
      <c r="BG23" s="89"/>
    </row>
    <row r="24" spans="1:60" ht="20.399999999999999"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</row>
    <row r="25" spans="1:60" ht="20.399999999999999"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</row>
    <row r="26" spans="1:60" ht="20.399999999999999">
      <c r="A26" s="42"/>
    </row>
    <row r="27" spans="1:60" ht="20.399999999999999">
      <c r="A27" s="63" t="s">
        <v>135</v>
      </c>
      <c r="D27" s="6">
        <v>1</v>
      </c>
      <c r="E27" s="6">
        <v>2</v>
      </c>
      <c r="F27" s="6">
        <v>3</v>
      </c>
      <c r="G27" s="6">
        <v>4</v>
      </c>
      <c r="H27" s="6">
        <v>5</v>
      </c>
      <c r="L27" s="6">
        <v>1</v>
      </c>
      <c r="M27" s="6">
        <v>2</v>
      </c>
      <c r="N27" s="6">
        <v>3</v>
      </c>
      <c r="O27" s="6">
        <v>4</v>
      </c>
      <c r="P27" s="6">
        <v>5</v>
      </c>
      <c r="S27" s="6">
        <v>1</v>
      </c>
      <c r="T27" s="6">
        <v>2</v>
      </c>
      <c r="U27" s="6">
        <v>3</v>
      </c>
      <c r="V27" s="6">
        <v>4</v>
      </c>
      <c r="W27" s="6">
        <v>5</v>
      </c>
      <c r="Z27" s="6">
        <v>1</v>
      </c>
      <c r="AA27" s="6">
        <v>2</v>
      </c>
      <c r="AB27" s="6">
        <v>3</v>
      </c>
      <c r="AC27" s="6">
        <v>4</v>
      </c>
      <c r="AD27" s="6">
        <v>5</v>
      </c>
      <c r="AG27" s="6">
        <v>1</v>
      </c>
      <c r="AH27" s="6">
        <v>2</v>
      </c>
      <c r="AI27" s="6">
        <v>3</v>
      </c>
      <c r="AJ27" s="6">
        <v>4</v>
      </c>
      <c r="AK27" s="6">
        <v>5</v>
      </c>
      <c r="AN27" s="6">
        <v>1</v>
      </c>
      <c r="AO27" s="6">
        <v>2</v>
      </c>
      <c r="AP27" s="6">
        <v>3</v>
      </c>
      <c r="AQ27" s="6">
        <v>4</v>
      </c>
      <c r="AR27" s="6">
        <v>5</v>
      </c>
      <c r="AU27" s="6">
        <v>1</v>
      </c>
      <c r="AV27" s="6">
        <v>2</v>
      </c>
      <c r="AW27" s="6">
        <v>3</v>
      </c>
      <c r="AX27" s="6">
        <v>4</v>
      </c>
      <c r="AY27" s="6">
        <v>5</v>
      </c>
      <c r="BD27" s="6">
        <v>1</v>
      </c>
      <c r="BE27" s="6">
        <v>2</v>
      </c>
      <c r="BF27" s="6">
        <v>3</v>
      </c>
      <c r="BG27" s="6">
        <v>4</v>
      </c>
      <c r="BH27" s="6">
        <v>5</v>
      </c>
    </row>
    <row r="28" spans="1:60" ht="40.200000000000003" thickBot="1">
      <c r="A28" s="52" t="s">
        <v>34</v>
      </c>
      <c r="B28" s="4" cm="1">
        <f t="array" ref="B28:B37">T_results!E17:E26</f>
        <v>4</v>
      </c>
      <c r="D28" s="10">
        <f>IF(COLUMNS(D28:$D28)&lt;=$B28, 1, "")</f>
        <v>1</v>
      </c>
      <c r="E28" s="10">
        <f>IF(COLUMNS($D28:E28)&lt;=$B28, 1, "")</f>
        <v>1</v>
      </c>
      <c r="F28" s="10">
        <f>IF(COLUMNS($D28:F28)&lt;=$B28, 1, "")</f>
        <v>1</v>
      </c>
      <c r="G28" s="10">
        <f>IF(COLUMNS($D28:G28)&lt;=$B28, 1, "")</f>
        <v>1</v>
      </c>
      <c r="H28" s="10" t="str">
        <f>IF(COLUMNS($D28:H28)&lt;=$B28, 1, "")</f>
        <v/>
      </c>
      <c r="I28" s="4" cm="1">
        <f t="array" ref="I28:I37">T_results!F17:F26</f>
        <v>2</v>
      </c>
      <c r="L28" s="10">
        <f>IF(COLUMNS($L28:L28)&lt;=$I28, 1, "")</f>
        <v>1</v>
      </c>
      <c r="M28" s="10">
        <f>IF(COLUMNS($L28:M28)&lt;=$I28, 1, "")</f>
        <v>1</v>
      </c>
      <c r="N28" s="10" t="str">
        <f>IF(COLUMNS($L28:N28)&lt;=$I28, 1, "")</f>
        <v/>
      </c>
      <c r="O28" s="10" t="str">
        <f>IF(COLUMNS($L28:O28)&lt;=$I28, 1, "")</f>
        <v/>
      </c>
      <c r="P28" s="10" t="str">
        <f>IF(COLUMNS($L28:P28)&lt;=$I28, 1, "")</f>
        <v/>
      </c>
      <c r="Q28" s="4" cm="1">
        <f t="array" ref="Q28:Q37">T_results!G17:G26</f>
        <v>2</v>
      </c>
      <c r="S28" s="10">
        <f>IF(COLUMNS($S28:S28)&lt;=$Q28, 1, "")</f>
        <v>1</v>
      </c>
      <c r="T28" s="10">
        <f>IF(COLUMNS($S28:T28)&lt;=$Q28, 1, "")</f>
        <v>1</v>
      </c>
      <c r="U28" s="10" t="str">
        <f>IF(COLUMNS($S28:U28)&lt;=$Q28, 1, "")</f>
        <v/>
      </c>
      <c r="V28" s="10" t="str">
        <f>IF(COLUMNS($S28:V28)&lt;=$Q28, 1, "")</f>
        <v/>
      </c>
      <c r="W28" s="10" t="str">
        <f>IF(COLUMNS($S28:W28)&lt;=$Q28, 1, "")</f>
        <v/>
      </c>
      <c r="X28" s="4" cm="1">
        <f t="array" ref="X28:X37">T_results!H17:H26</f>
        <v>2</v>
      </c>
      <c r="Z28" s="10">
        <f>IF(COLUMNS($Z28:Z28)&lt;=$X28, 1, "")</f>
        <v>1</v>
      </c>
      <c r="AA28" s="10">
        <f>IF(COLUMNS($Z28:AA28)&lt;=$X28, 1, "")</f>
        <v>1</v>
      </c>
      <c r="AB28" s="10" t="str">
        <f>IF(COLUMNS($Z28:AB28)&lt;=$X28, 1, "")</f>
        <v/>
      </c>
      <c r="AC28" s="10" t="str">
        <f>IF(COLUMNS($Z28:AC28)&lt;=$X28, 1, "")</f>
        <v/>
      </c>
      <c r="AD28" s="10" t="str">
        <f>IF(COLUMNS($Z28:AD28)&lt;=$X28, 1, "")</f>
        <v/>
      </c>
      <c r="AE28" s="4" cm="1">
        <f t="array" ref="AE28:AE37">T_results!I17:I26</f>
        <v>2</v>
      </c>
      <c r="AG28" s="10">
        <f>IF(COLUMNS($AG28:AG28)&lt;=$AE28, 1, "")</f>
        <v>1</v>
      </c>
      <c r="AH28" s="10">
        <f>IF(COLUMNS($AG28:AH28)&lt;=$AE28, 1, "")</f>
        <v>1</v>
      </c>
      <c r="AI28" s="10" t="str">
        <f>IF(COLUMNS($AG28:AI28)&lt;=$AE28, 1, "")</f>
        <v/>
      </c>
      <c r="AJ28" s="10" t="str">
        <f>IF(COLUMNS($AG28:AJ28)&lt;=$AE28, 1, "")</f>
        <v/>
      </c>
      <c r="AK28" s="10" t="str">
        <f>IF(COLUMNS($AG28:AK28)&lt;=$AE28, 1, "")</f>
        <v/>
      </c>
      <c r="AL28" s="4" cm="1">
        <f t="array" ref="AL28:AL37">T_results!J17:J26</f>
        <v>2</v>
      </c>
      <c r="AN28" s="10">
        <f>IF(COLUMNS($AN28:AN28)&lt;=$AL28, 1, "")</f>
        <v>1</v>
      </c>
      <c r="AO28" s="10">
        <f>IF(COLUMNS($AN28:AO28)&lt;=$AL28, 1, "")</f>
        <v>1</v>
      </c>
      <c r="AP28" s="10" t="str">
        <f>IF(COLUMNS($AN28:AP28)&lt;=$AL28, 1, "")</f>
        <v/>
      </c>
      <c r="AQ28" s="10" t="str">
        <f>IF(COLUMNS($AN28:AQ28)&lt;=$AL28, 1, "")</f>
        <v/>
      </c>
      <c r="AR28" s="10" t="str">
        <f>IF(COLUMNS($AN28:AR28)&lt;=$AL28, 1, "")</f>
        <v/>
      </c>
      <c r="AS28" s="4" cm="1">
        <f t="array" ref="AS28:AS37">T_results!K17:K26</f>
        <v>4</v>
      </c>
      <c r="AU28" s="10">
        <f>IF(COLUMNS($AU28:AU28)&lt;=$AS28, 1, "")</f>
        <v>1</v>
      </c>
      <c r="AV28" s="10">
        <f>IF(COLUMNS($AU28:AV28)&lt;=$AS28, 1, "")</f>
        <v>1</v>
      </c>
      <c r="AW28" s="10">
        <f>IF(COLUMNS($AU28:AW28)&lt;=$AS28, 1, "")</f>
        <v>1</v>
      </c>
      <c r="AX28" s="10">
        <f>IF(COLUMNS($AU28:AX28)&lt;=$AS28, 1, "")</f>
        <v>1</v>
      </c>
      <c r="AY28" s="10" t="str">
        <f>IF(COLUMNS($AU28:AY28)&lt;=$AS28, 1, "")</f>
        <v/>
      </c>
      <c r="AZ28" s="4" cm="1">
        <f t="array" ref="AZ28:AZ37">T_results!L17:L26</f>
        <v>4</v>
      </c>
      <c r="BC28" s="4" cm="1">
        <f t="array" ref="BC28:BC37">_xlfn.ANCHORARRAY(T_results!L17)</f>
        <v>4</v>
      </c>
      <c r="BD28" s="10">
        <f>IF(COLUMNS($BD28:BD28)&lt;=$BC28, 1, "")</f>
        <v>1</v>
      </c>
      <c r="BE28" s="10">
        <f>IF(COLUMNS($BD28:BE28)&lt;=$BC28, 1, "")</f>
        <v>1</v>
      </c>
      <c r="BF28" s="10">
        <f>IF(COLUMNS($BD28:BF28)&lt;=$BC28, 1, "")</f>
        <v>1</v>
      </c>
      <c r="BG28" s="10">
        <f>IF(COLUMNS($BD28:BG28)&lt;=$BC28, 1, "")</f>
        <v>1</v>
      </c>
      <c r="BH28" s="10" t="str">
        <f>IF(COLUMNS($BD28:BH28)&lt;=$BC28, 1, "")</f>
        <v/>
      </c>
    </row>
    <row r="29" spans="1:60" ht="21.6" thickTop="1" thickBot="1">
      <c r="A29" s="52" t="s">
        <v>35</v>
      </c>
      <c r="B29" s="4">
        <v>5</v>
      </c>
      <c r="D29" s="10">
        <f>IF(COLUMNS(D29:$D29)&lt;=$B29, 1, "")</f>
        <v>1</v>
      </c>
      <c r="E29" s="10">
        <f>IF(COLUMNS($D29:E29)&lt;=$B29, 1, "")</f>
        <v>1</v>
      </c>
      <c r="F29" s="10">
        <f>IF(COLUMNS($D29:F29)&lt;=$B29, 1, "")</f>
        <v>1</v>
      </c>
      <c r="G29" s="10">
        <f>IF(COLUMNS($D29:G29)&lt;=$B29, 1, "")</f>
        <v>1</v>
      </c>
      <c r="H29" s="10">
        <f>IF(COLUMNS($D29:H29)&lt;=$B29, 1, "")</f>
        <v>1</v>
      </c>
      <c r="I29" s="4">
        <v>5</v>
      </c>
      <c r="L29" s="10">
        <f>IF(COLUMNS($L29:L29)&lt;=$I29, 1, "")</f>
        <v>1</v>
      </c>
      <c r="M29" s="10">
        <f>IF(COLUMNS($L29:M29)&lt;=$I29, 1, "")</f>
        <v>1</v>
      </c>
      <c r="N29" s="10">
        <f>IF(COLUMNS($L29:N29)&lt;=$I29, 1, "")</f>
        <v>1</v>
      </c>
      <c r="O29" s="10">
        <f>IF(COLUMNS($L29:O29)&lt;=$I29, 1, "")</f>
        <v>1</v>
      </c>
      <c r="P29" s="10">
        <f>IF(COLUMNS($L29:P29)&lt;=$I29, 1, "")</f>
        <v>1</v>
      </c>
      <c r="Q29" s="4">
        <v>5</v>
      </c>
      <c r="S29" s="10">
        <f>IF(COLUMNS($S29:S29)&lt;=$Q29, 1, "")</f>
        <v>1</v>
      </c>
      <c r="T29" s="10">
        <f>IF(COLUMNS($S29:T29)&lt;=$Q29, 1, "")</f>
        <v>1</v>
      </c>
      <c r="U29" s="10">
        <f>IF(COLUMNS($S29:U29)&lt;=$Q29, 1, "")</f>
        <v>1</v>
      </c>
      <c r="V29" s="10">
        <f>IF(COLUMNS($S29:V29)&lt;=$Q29, 1, "")</f>
        <v>1</v>
      </c>
      <c r="W29" s="10">
        <f>IF(COLUMNS($S29:W29)&lt;=$Q29, 1, "")</f>
        <v>1</v>
      </c>
      <c r="X29" s="4">
        <v>3</v>
      </c>
      <c r="Z29" s="10">
        <f>IF(COLUMNS($Z29:Z29)&lt;=$X29, 1, "")</f>
        <v>1</v>
      </c>
      <c r="AA29" s="10">
        <f>IF(COLUMNS($Z29:AA29)&lt;=$X29, 1, "")</f>
        <v>1</v>
      </c>
      <c r="AB29" s="10">
        <f>IF(COLUMNS($Z29:AB29)&lt;=$X29, 1, "")</f>
        <v>1</v>
      </c>
      <c r="AC29" s="10" t="str">
        <f>IF(COLUMNS($Z29:AC29)&lt;=$X29, 1, "")</f>
        <v/>
      </c>
      <c r="AD29" s="10" t="str">
        <f>IF(COLUMNS($Z29:AD29)&lt;=$X29, 1, "")</f>
        <v/>
      </c>
      <c r="AE29" s="4">
        <v>3</v>
      </c>
      <c r="AG29" s="10">
        <f>IF(COLUMNS($AG29:AG29)&lt;=$AE29, 1, "")</f>
        <v>1</v>
      </c>
      <c r="AH29" s="10">
        <f>IF(COLUMNS($AG29:AH29)&lt;=$AE29, 1, "")</f>
        <v>1</v>
      </c>
      <c r="AI29" s="10">
        <f>IF(COLUMNS($AG29:AI29)&lt;=$AE29, 1, "")</f>
        <v>1</v>
      </c>
      <c r="AJ29" s="10" t="str">
        <f>IF(COLUMNS($AG29:AJ29)&lt;=$AE29, 1, "")</f>
        <v/>
      </c>
      <c r="AK29" s="10" t="str">
        <f>IF(COLUMNS($AG29:AK29)&lt;=$AE29, 1, "")</f>
        <v/>
      </c>
      <c r="AL29" s="4">
        <v>3</v>
      </c>
      <c r="AN29" s="10">
        <f>IF(COLUMNS($AN29:AN29)&lt;=$AL29, 1, "")</f>
        <v>1</v>
      </c>
      <c r="AO29" s="10">
        <f>IF(COLUMNS($AN29:AO29)&lt;=$AL29, 1, "")</f>
        <v>1</v>
      </c>
      <c r="AP29" s="10">
        <f>IF(COLUMNS($AN29:AP29)&lt;=$AL29, 1, "")</f>
        <v>1</v>
      </c>
      <c r="AQ29" s="10" t="str">
        <f>IF(COLUMNS($AN29:AQ29)&lt;=$AL29, 1, "")</f>
        <v/>
      </c>
      <c r="AR29" s="10" t="str">
        <f>IF(COLUMNS($AN29:AR29)&lt;=$AL29, 1, "")</f>
        <v/>
      </c>
      <c r="AS29" s="4">
        <v>5</v>
      </c>
      <c r="AU29" s="10">
        <f>IF(COLUMNS($AU29:AU29)&lt;=$AS29, 1, "")</f>
        <v>1</v>
      </c>
      <c r="AV29" s="10">
        <f>IF(COLUMNS($AU29:AV29)&lt;=$AS29, 1, "")</f>
        <v>1</v>
      </c>
      <c r="AW29" s="10">
        <f>IF(COLUMNS($AU29:AW29)&lt;=$AS29, 1, "")</f>
        <v>1</v>
      </c>
      <c r="AX29" s="10">
        <f>IF(COLUMNS($AU29:AX29)&lt;=$AS29, 1, "")</f>
        <v>1</v>
      </c>
      <c r="AY29" s="10">
        <f>IF(COLUMNS($AU29:AY29)&lt;=$AS29, 1, "")</f>
        <v>1</v>
      </c>
      <c r="AZ29" s="4">
        <v>5</v>
      </c>
      <c r="BC29" s="4">
        <v>5</v>
      </c>
      <c r="BD29" s="10">
        <f>IF(COLUMNS($BD29:BD29)&lt;=$BC29, 1, "")</f>
        <v>1</v>
      </c>
      <c r="BE29" s="10">
        <f>IF(COLUMNS($BD29:BE29)&lt;=$BC29, 1, "")</f>
        <v>1</v>
      </c>
      <c r="BF29" s="10">
        <f>IF(COLUMNS($BD29:BF29)&lt;=$BC29, 1, "")</f>
        <v>1</v>
      </c>
      <c r="BG29" s="10">
        <f>IF(COLUMNS($BD29:BG29)&lt;=$BC29, 1, "")</f>
        <v>1</v>
      </c>
      <c r="BH29" s="10">
        <f>IF(COLUMNS($BD29:BH29)&lt;=$BC29, 1, "")</f>
        <v>1</v>
      </c>
    </row>
    <row r="30" spans="1:60" ht="21.6" thickTop="1" thickBot="1">
      <c r="A30" s="52" t="s">
        <v>36</v>
      </c>
      <c r="B30" s="4">
        <v>5</v>
      </c>
      <c r="D30" s="10">
        <f>IF(COLUMNS(D30:$D30)&lt;=$B30, 1, "")</f>
        <v>1</v>
      </c>
      <c r="E30" s="10">
        <f>IF(COLUMNS($D30:E30)&lt;=$B30, 1, "")</f>
        <v>1</v>
      </c>
      <c r="F30" s="10">
        <f>IF(COLUMNS($D30:F30)&lt;=$B30, 1, "")</f>
        <v>1</v>
      </c>
      <c r="G30" s="10">
        <f>IF(COLUMNS($D30:G30)&lt;=$B30, 1, "")</f>
        <v>1</v>
      </c>
      <c r="H30" s="10">
        <f>IF(COLUMNS($D30:H30)&lt;=$B30, 1, "")</f>
        <v>1</v>
      </c>
      <c r="I30" s="4">
        <v>1</v>
      </c>
      <c r="L30" s="10">
        <f>IF(COLUMNS($L30:L30)&lt;=$I30, 1, "")</f>
        <v>1</v>
      </c>
      <c r="M30" s="10" t="str">
        <f>IF(COLUMNS($L30:M30)&lt;=$I30, 1, "")</f>
        <v/>
      </c>
      <c r="N30" s="10" t="str">
        <f>IF(COLUMNS($L30:N30)&lt;=$I30, 1, "")</f>
        <v/>
      </c>
      <c r="O30" s="10" t="str">
        <f>IF(COLUMNS($L30:O30)&lt;=$I30, 1, "")</f>
        <v/>
      </c>
      <c r="P30" s="10" t="str">
        <f>IF(COLUMNS($L30:P30)&lt;=$I30, 1, "")</f>
        <v/>
      </c>
      <c r="Q30" s="4">
        <v>5</v>
      </c>
      <c r="S30" s="10">
        <f>IF(COLUMNS($S30:S30)&lt;=$Q30, 1, "")</f>
        <v>1</v>
      </c>
      <c r="T30" s="10">
        <f>IF(COLUMNS($S30:T30)&lt;=$Q30, 1, "")</f>
        <v>1</v>
      </c>
      <c r="U30" s="10">
        <f>IF(COLUMNS($S30:U30)&lt;=$Q30, 1, "")</f>
        <v>1</v>
      </c>
      <c r="V30" s="10">
        <f>IF(COLUMNS($S30:V30)&lt;=$Q30, 1, "")</f>
        <v>1</v>
      </c>
      <c r="W30" s="10">
        <f>IF(COLUMNS($S30:W30)&lt;=$Q30, 1, "")</f>
        <v>1</v>
      </c>
      <c r="X30" s="4">
        <v>5</v>
      </c>
      <c r="Z30" s="10">
        <f>IF(COLUMNS($Z30:Z30)&lt;=$X30, 1, "")</f>
        <v>1</v>
      </c>
      <c r="AA30" s="10">
        <f>IF(COLUMNS($Z30:AA30)&lt;=$X30, 1, "")</f>
        <v>1</v>
      </c>
      <c r="AB30" s="10">
        <f>IF(COLUMNS($Z30:AB30)&lt;=$X30, 1, "")</f>
        <v>1</v>
      </c>
      <c r="AC30" s="10">
        <f>IF(COLUMNS($Z30:AC30)&lt;=$X30, 1, "")</f>
        <v>1</v>
      </c>
      <c r="AD30" s="10">
        <f>IF(COLUMNS($Z30:AD30)&lt;=$X30, 1, "")</f>
        <v>1</v>
      </c>
      <c r="AE30" s="4">
        <v>5</v>
      </c>
      <c r="AG30" s="10">
        <f>IF(COLUMNS($AG30:AG30)&lt;=$AE30, 1, "")</f>
        <v>1</v>
      </c>
      <c r="AH30" s="10">
        <f>IF(COLUMNS($AG30:AH30)&lt;=$AE30, 1, "")</f>
        <v>1</v>
      </c>
      <c r="AI30" s="10">
        <f>IF(COLUMNS($AG30:AI30)&lt;=$AE30, 1, "")</f>
        <v>1</v>
      </c>
      <c r="AJ30" s="10">
        <f>IF(COLUMNS($AG30:AJ30)&lt;=$AE30, 1, "")</f>
        <v>1</v>
      </c>
      <c r="AK30" s="10">
        <f>IF(COLUMNS($AG30:AK30)&lt;=$AE30, 1, "")</f>
        <v>1</v>
      </c>
      <c r="AL30" s="4">
        <v>1</v>
      </c>
      <c r="AN30" s="10">
        <f>IF(COLUMNS($AN30:AN30)&lt;=$AL30, 1, "")</f>
        <v>1</v>
      </c>
      <c r="AO30" s="10" t="str">
        <f>IF(COLUMNS($AN30:AO30)&lt;=$AL30, 1, "")</f>
        <v/>
      </c>
      <c r="AP30" s="10" t="str">
        <f>IF(COLUMNS($AN30:AP30)&lt;=$AL30, 1, "")</f>
        <v/>
      </c>
      <c r="AQ30" s="10" t="str">
        <f>IF(COLUMNS($AN30:AQ30)&lt;=$AL30, 1, "")</f>
        <v/>
      </c>
      <c r="AR30" s="10" t="str">
        <f>IF(COLUMNS($AN30:AR30)&lt;=$AL30, 1, "")</f>
        <v/>
      </c>
      <c r="AS30" s="4">
        <v>1</v>
      </c>
      <c r="AU30" s="10">
        <f>IF(COLUMNS($AU30:AU30)&lt;=$AS30, 1, "")</f>
        <v>1</v>
      </c>
      <c r="AV30" s="10" t="str">
        <f>IF(COLUMNS($AU30:AV30)&lt;=$AS30, 1, "")</f>
        <v/>
      </c>
      <c r="AW30" s="10" t="str">
        <f>IF(COLUMNS($AU30:AW30)&lt;=$AS30, 1, "")</f>
        <v/>
      </c>
      <c r="AX30" s="10" t="str">
        <f>IF(COLUMNS($AU30:AX30)&lt;=$AS30, 1, "")</f>
        <v/>
      </c>
      <c r="AY30" s="10" t="str">
        <f>IF(COLUMNS($AU30:AY30)&lt;=$AS30, 1, "")</f>
        <v/>
      </c>
      <c r="AZ30" s="4">
        <v>1</v>
      </c>
      <c r="BC30" s="4">
        <v>1</v>
      </c>
      <c r="BD30" s="10">
        <f>IF(COLUMNS($BD30:BD30)&lt;=$BC30, 1, "")</f>
        <v>1</v>
      </c>
      <c r="BE30" s="10" t="str">
        <f>IF(COLUMNS($BD30:BE30)&lt;=$BC30, 1, "")</f>
        <v/>
      </c>
      <c r="BF30" s="10" t="str">
        <f>IF(COLUMNS($BD30:BF30)&lt;=$BC30, 1, "")</f>
        <v/>
      </c>
      <c r="BG30" s="10" t="str">
        <f>IF(COLUMNS($BD30:BG30)&lt;=$BC30, 1, "")</f>
        <v/>
      </c>
      <c r="BH30" s="10" t="str">
        <f>IF(COLUMNS($BD30:BH30)&lt;=$BC30, 1, "")</f>
        <v/>
      </c>
    </row>
    <row r="31" spans="1:60" ht="21.6" thickTop="1" thickBot="1">
      <c r="A31" s="52" t="s">
        <v>38</v>
      </c>
      <c r="B31" s="4">
        <v>1</v>
      </c>
      <c r="D31" s="10">
        <f>IF(COLUMNS(D31:$D31)&lt;=$B31, 1, "")</f>
        <v>1</v>
      </c>
      <c r="E31" s="10" t="str">
        <f>IF(COLUMNS($D31:E31)&lt;=$B31, 1, "")</f>
        <v/>
      </c>
      <c r="F31" s="10" t="str">
        <f>IF(COLUMNS($D31:F31)&lt;=$B31, 1, "")</f>
        <v/>
      </c>
      <c r="G31" s="10" t="str">
        <f>IF(COLUMNS($D31:G31)&lt;=$B31, 1, "")</f>
        <v/>
      </c>
      <c r="H31" s="10" t="str">
        <f>IF(COLUMNS($D31:H31)&lt;=$B31, 1, "")</f>
        <v/>
      </c>
      <c r="I31" s="4">
        <v>1</v>
      </c>
      <c r="L31" s="10">
        <f>IF(COLUMNS($L31:L31)&lt;=$I31, 1, "")</f>
        <v>1</v>
      </c>
      <c r="M31" s="10" t="str">
        <f>IF(COLUMNS($L31:M31)&lt;=$I31, 1, "")</f>
        <v/>
      </c>
      <c r="N31" s="10" t="str">
        <f>IF(COLUMNS($L31:N31)&lt;=$I31, 1, "")</f>
        <v/>
      </c>
      <c r="O31" s="10" t="str">
        <f>IF(COLUMNS($L31:O31)&lt;=$I31, 1, "")</f>
        <v/>
      </c>
      <c r="P31" s="10" t="str">
        <f>IF(COLUMNS($L31:P31)&lt;=$I31, 1, "")</f>
        <v/>
      </c>
      <c r="Q31" s="4">
        <v>1</v>
      </c>
      <c r="S31" s="10">
        <f>IF(COLUMNS($S31:S31)&lt;=$Q31, 1, "")</f>
        <v>1</v>
      </c>
      <c r="T31" s="10" t="str">
        <f>IF(COLUMNS($S31:T31)&lt;=$Q31, 1, "")</f>
        <v/>
      </c>
      <c r="U31" s="10" t="str">
        <f>IF(COLUMNS($S31:U31)&lt;=$Q31, 1, "")</f>
        <v/>
      </c>
      <c r="V31" s="10" t="str">
        <f>IF(COLUMNS($S31:V31)&lt;=$Q31, 1, "")</f>
        <v/>
      </c>
      <c r="W31" s="10" t="str">
        <f>IF(COLUMNS($S31:W31)&lt;=$Q31, 1, "")</f>
        <v/>
      </c>
      <c r="X31" s="4">
        <v>5</v>
      </c>
      <c r="Z31" s="10">
        <f>IF(COLUMNS($Z31:Z31)&lt;=$X31, 1, "")</f>
        <v>1</v>
      </c>
      <c r="AA31" s="10">
        <f>IF(COLUMNS($Z31:AA31)&lt;=$X31, 1, "")</f>
        <v>1</v>
      </c>
      <c r="AB31" s="10">
        <f>IF(COLUMNS($Z31:AB31)&lt;=$X31, 1, "")</f>
        <v>1</v>
      </c>
      <c r="AC31" s="10">
        <f>IF(COLUMNS($Z31:AC31)&lt;=$X31, 1, "")</f>
        <v>1</v>
      </c>
      <c r="AD31" s="10">
        <f>IF(COLUMNS($Z31:AD31)&lt;=$X31, 1, "")</f>
        <v>1</v>
      </c>
      <c r="AE31" s="4">
        <v>1</v>
      </c>
      <c r="AG31" s="10">
        <f>IF(COLUMNS($AG31:AG31)&lt;=$AE31, 1, "")</f>
        <v>1</v>
      </c>
      <c r="AH31" s="10" t="str">
        <f>IF(COLUMNS($AG31:AH31)&lt;=$AE31, 1, "")</f>
        <v/>
      </c>
      <c r="AI31" s="10" t="str">
        <f>IF(COLUMNS($AG31:AI31)&lt;=$AE31, 1, "")</f>
        <v/>
      </c>
      <c r="AJ31" s="10" t="str">
        <f>IF(COLUMNS($AG31:AJ31)&lt;=$AE31, 1, "")</f>
        <v/>
      </c>
      <c r="AK31" s="10" t="str">
        <f>IF(COLUMNS($AG31:AK31)&lt;=$AE31, 1, "")</f>
        <v/>
      </c>
      <c r="AL31" s="4">
        <v>1</v>
      </c>
      <c r="AN31" s="10">
        <f>IF(COLUMNS($AN31:AN31)&lt;=$AL31, 1, "")</f>
        <v>1</v>
      </c>
      <c r="AO31" s="10" t="str">
        <f>IF(COLUMNS($AN31:AO31)&lt;=$AL31, 1, "")</f>
        <v/>
      </c>
      <c r="AP31" s="10" t="str">
        <f>IF(COLUMNS($AN31:AP31)&lt;=$AL31, 1, "")</f>
        <v/>
      </c>
      <c r="AQ31" s="10" t="str">
        <f>IF(COLUMNS($AN31:AQ31)&lt;=$AL31, 1, "")</f>
        <v/>
      </c>
      <c r="AR31" s="10" t="str">
        <f>IF(COLUMNS($AN31:AR31)&lt;=$AL31, 1, "")</f>
        <v/>
      </c>
      <c r="AS31" s="4">
        <v>1</v>
      </c>
      <c r="AU31" s="10">
        <f>IF(COLUMNS($AU31:AU31)&lt;=$AS31, 1, "")</f>
        <v>1</v>
      </c>
      <c r="AV31" s="10" t="str">
        <f>IF(COLUMNS($AU31:AV31)&lt;=$AS31, 1, "")</f>
        <v/>
      </c>
      <c r="AW31" s="10" t="str">
        <f>IF(COLUMNS($AU31:AW31)&lt;=$AS31, 1, "")</f>
        <v/>
      </c>
      <c r="AX31" s="10" t="str">
        <f>IF(COLUMNS($AU31:AX31)&lt;=$AS31, 1, "")</f>
        <v/>
      </c>
      <c r="AY31" s="10" t="str">
        <f>IF(COLUMNS($AU31:AY31)&lt;=$AS31, 1, "")</f>
        <v/>
      </c>
      <c r="AZ31" s="4">
        <v>5</v>
      </c>
      <c r="BC31" s="4">
        <v>5</v>
      </c>
      <c r="BD31" s="10">
        <f>IF(COLUMNS($BD31:BD31)&lt;=$BC31, 1, "")</f>
        <v>1</v>
      </c>
      <c r="BE31" s="10">
        <f>IF(COLUMNS($BD31:BE31)&lt;=$BC31, 1, "")</f>
        <v>1</v>
      </c>
      <c r="BF31" s="10">
        <f>IF(COLUMNS($BD31:BF31)&lt;=$BC31, 1, "")</f>
        <v>1</v>
      </c>
      <c r="BG31" s="10">
        <f>IF(COLUMNS($BD31:BG31)&lt;=$BC31, 1, "")</f>
        <v>1</v>
      </c>
      <c r="BH31" s="10">
        <f>IF(COLUMNS($BD31:BH31)&lt;=$BC31, 1, "")</f>
        <v>1</v>
      </c>
    </row>
    <row r="32" spans="1:60" ht="21.6" thickTop="1" thickBot="1">
      <c r="A32" s="52" t="s">
        <v>39</v>
      </c>
      <c r="B32" s="4">
        <v>1</v>
      </c>
      <c r="D32" s="10">
        <f>IF(COLUMNS(D32:$D32)&lt;=$B32, 1, "")</f>
        <v>1</v>
      </c>
      <c r="E32" s="10" t="str">
        <f>IF(COLUMNS($D32:E32)&lt;=$B32, 1, "")</f>
        <v/>
      </c>
      <c r="F32" s="10" t="str">
        <f>IF(COLUMNS($D32:F32)&lt;=$B32, 1, "")</f>
        <v/>
      </c>
      <c r="G32" s="10" t="str">
        <f>IF(COLUMNS($D32:G32)&lt;=$B32, 1, "")</f>
        <v/>
      </c>
      <c r="H32" s="10" t="str">
        <f>IF(COLUMNS($D32:H32)&lt;=$B32, 1, "")</f>
        <v/>
      </c>
      <c r="I32" s="4">
        <v>5</v>
      </c>
      <c r="L32" s="10">
        <f>IF(COLUMNS($L32:L32)&lt;=$I32, 1, "")</f>
        <v>1</v>
      </c>
      <c r="M32" s="10">
        <f>IF(COLUMNS($L32:M32)&lt;=$I32, 1, "")</f>
        <v>1</v>
      </c>
      <c r="N32" s="10">
        <f>IF(COLUMNS($L32:N32)&lt;=$I32, 1, "")</f>
        <v>1</v>
      </c>
      <c r="O32" s="10">
        <f>IF(COLUMNS($L32:O32)&lt;=$I32, 1, "")</f>
        <v>1</v>
      </c>
      <c r="P32" s="10">
        <f>IF(COLUMNS($L32:P32)&lt;=$I32, 1, "")</f>
        <v>1</v>
      </c>
      <c r="Q32" s="4">
        <v>5</v>
      </c>
      <c r="S32" s="10">
        <f>IF(COLUMNS($S32:S32)&lt;=$Q32, 1, "")</f>
        <v>1</v>
      </c>
      <c r="T32" s="10">
        <f>IF(COLUMNS($S32:T32)&lt;=$Q32, 1, "")</f>
        <v>1</v>
      </c>
      <c r="U32" s="10">
        <f>IF(COLUMNS($S32:U32)&lt;=$Q32, 1, "")</f>
        <v>1</v>
      </c>
      <c r="V32" s="10">
        <f>IF(COLUMNS($S32:V32)&lt;=$Q32, 1, "")</f>
        <v>1</v>
      </c>
      <c r="W32" s="10">
        <f>IF(COLUMNS($S32:W32)&lt;=$Q32, 1, "")</f>
        <v>1</v>
      </c>
      <c r="X32" s="4">
        <v>5</v>
      </c>
      <c r="Z32" s="10">
        <f>IF(COLUMNS($Z32:Z32)&lt;=$X32, 1, "")</f>
        <v>1</v>
      </c>
      <c r="AA32" s="10">
        <f>IF(COLUMNS($Z32:AA32)&lt;=$X32, 1, "")</f>
        <v>1</v>
      </c>
      <c r="AB32" s="10">
        <f>IF(COLUMNS($Z32:AB32)&lt;=$X32, 1, "")</f>
        <v>1</v>
      </c>
      <c r="AC32" s="10">
        <f>IF(COLUMNS($Z32:AC32)&lt;=$X32, 1, "")</f>
        <v>1</v>
      </c>
      <c r="AD32" s="10">
        <f>IF(COLUMNS($Z32:AD32)&lt;=$X32, 1, "")</f>
        <v>1</v>
      </c>
      <c r="AE32" s="4">
        <v>5</v>
      </c>
      <c r="AG32" s="10">
        <f>IF(COLUMNS($AG32:AG32)&lt;=$AE32, 1, "")</f>
        <v>1</v>
      </c>
      <c r="AH32" s="10">
        <f>IF(COLUMNS($AG32:AH32)&lt;=$AE32, 1, "")</f>
        <v>1</v>
      </c>
      <c r="AI32" s="10">
        <f>IF(COLUMNS($AG32:AI32)&lt;=$AE32, 1, "")</f>
        <v>1</v>
      </c>
      <c r="AJ32" s="10">
        <f>IF(COLUMNS($AG32:AJ32)&lt;=$AE32, 1, "")</f>
        <v>1</v>
      </c>
      <c r="AK32" s="10">
        <f>IF(COLUMNS($AG32:AK32)&lt;=$AE32, 1, "")</f>
        <v>1</v>
      </c>
      <c r="AL32" s="4">
        <v>5</v>
      </c>
      <c r="AN32" s="10">
        <f>IF(COLUMNS($AN32:AN32)&lt;=$AL32, 1, "")</f>
        <v>1</v>
      </c>
      <c r="AO32" s="10">
        <f>IF(COLUMNS($AN32:AO32)&lt;=$AL32, 1, "")</f>
        <v>1</v>
      </c>
      <c r="AP32" s="10">
        <f>IF(COLUMNS($AN32:AP32)&lt;=$AL32, 1, "")</f>
        <v>1</v>
      </c>
      <c r="AQ32" s="10">
        <f>IF(COLUMNS($AN32:AQ32)&lt;=$AL32, 1, "")</f>
        <v>1</v>
      </c>
      <c r="AR32" s="10">
        <f>IF(COLUMNS($AN32:AR32)&lt;=$AL32, 1, "")</f>
        <v>1</v>
      </c>
      <c r="AS32" s="4">
        <v>5</v>
      </c>
      <c r="AU32" s="10">
        <f>IF(COLUMNS($AU32:AU32)&lt;=$AS32, 1, "")</f>
        <v>1</v>
      </c>
      <c r="AV32" s="10">
        <f>IF(COLUMNS($AU32:AV32)&lt;=$AS32, 1, "")</f>
        <v>1</v>
      </c>
      <c r="AW32" s="10">
        <f>IF(COLUMNS($AU32:AW32)&lt;=$AS32, 1, "")</f>
        <v>1</v>
      </c>
      <c r="AX32" s="10">
        <f>IF(COLUMNS($AU32:AX32)&lt;=$AS32, 1, "")</f>
        <v>1</v>
      </c>
      <c r="AY32" s="10">
        <f>IF(COLUMNS($AU32:AY32)&lt;=$AS32, 1, "")</f>
        <v>1</v>
      </c>
      <c r="AZ32" s="4">
        <v>5</v>
      </c>
      <c r="BC32" s="4">
        <v>5</v>
      </c>
      <c r="BD32" s="10">
        <f>IF(COLUMNS($BD32:BD32)&lt;=$BC32, 1, "")</f>
        <v>1</v>
      </c>
      <c r="BE32" s="10">
        <f>IF(COLUMNS($BD32:BE32)&lt;=$BC32, 1, "")</f>
        <v>1</v>
      </c>
      <c r="BF32" s="10">
        <f>IF(COLUMNS($BD32:BF32)&lt;=$BC32, 1, "")</f>
        <v>1</v>
      </c>
      <c r="BG32" s="10">
        <f>IF(COLUMNS($BD32:BG32)&lt;=$BC32, 1, "")</f>
        <v>1</v>
      </c>
      <c r="BH32" s="10">
        <f>IF(COLUMNS($BD32:BH32)&lt;=$BC32, 1, "")</f>
        <v>1</v>
      </c>
    </row>
    <row r="33" spans="1:60" ht="21.6" thickTop="1" thickBot="1">
      <c r="A33" s="52" t="s">
        <v>40</v>
      </c>
      <c r="B33" s="4">
        <v>0</v>
      </c>
      <c r="D33" s="10" t="str">
        <f>IF(COLUMNS(D33:$D33)&lt;=$B33, 1, "")</f>
        <v/>
      </c>
      <c r="E33" s="10" t="str">
        <f>IF(COLUMNS($D33:E33)&lt;=$B33, 1, "")</f>
        <v/>
      </c>
      <c r="F33" s="10" t="str">
        <f>IF(COLUMNS($D33:F33)&lt;=$B33, 1, "")</f>
        <v/>
      </c>
      <c r="G33" s="10" t="str">
        <f>IF(COLUMNS($D33:G33)&lt;=$B33, 1, "")</f>
        <v/>
      </c>
      <c r="H33" s="10" t="str">
        <f>IF(COLUMNS($D33:H33)&lt;=$B33, 1, "")</f>
        <v/>
      </c>
      <c r="I33" s="4">
        <v>0</v>
      </c>
      <c r="L33" s="10" t="str">
        <f>IF(COLUMNS($L33:L33)&lt;=$I33, 1, "")</f>
        <v/>
      </c>
      <c r="M33" s="10" t="str">
        <f>IF(COLUMNS($L33:M33)&lt;=$I33, 1, "")</f>
        <v/>
      </c>
      <c r="N33" s="10" t="str">
        <f>IF(COLUMNS($L33:N33)&lt;=$I33, 1, "")</f>
        <v/>
      </c>
      <c r="O33" s="10" t="str">
        <f>IF(COLUMNS($L33:O33)&lt;=$I33, 1, "")</f>
        <v/>
      </c>
      <c r="P33" s="10" t="str">
        <f>IF(COLUMNS($L33:P33)&lt;=$I33, 1, "")</f>
        <v/>
      </c>
      <c r="Q33" s="4">
        <v>5</v>
      </c>
      <c r="S33" s="10">
        <f>IF(COLUMNS($S33:S33)&lt;=$Q33, 1, "")</f>
        <v>1</v>
      </c>
      <c r="T33" s="10">
        <f>IF(COLUMNS($S33:T33)&lt;=$Q33, 1, "")</f>
        <v>1</v>
      </c>
      <c r="U33" s="10">
        <f>IF(COLUMNS($S33:U33)&lt;=$Q33, 1, "")</f>
        <v>1</v>
      </c>
      <c r="V33" s="10">
        <f>IF(COLUMNS($S33:V33)&lt;=$Q33, 1, "")</f>
        <v>1</v>
      </c>
      <c r="W33" s="10">
        <f>IF(COLUMNS($S33:W33)&lt;=$Q33, 1, "")</f>
        <v>1</v>
      </c>
      <c r="X33" s="4">
        <v>5</v>
      </c>
      <c r="Z33" s="10">
        <f>IF(COLUMNS($Z33:Z33)&lt;=$X33, 1, "")</f>
        <v>1</v>
      </c>
      <c r="AA33" s="10">
        <f>IF(COLUMNS($Z33:AA33)&lt;=$X33, 1, "")</f>
        <v>1</v>
      </c>
      <c r="AB33" s="10">
        <f>IF(COLUMNS($Z33:AB33)&lt;=$X33, 1, "")</f>
        <v>1</v>
      </c>
      <c r="AC33" s="10">
        <f>IF(COLUMNS($Z33:AC33)&lt;=$X33, 1, "")</f>
        <v>1</v>
      </c>
      <c r="AD33" s="10">
        <f>IF(COLUMNS($Z33:AD33)&lt;=$X33, 1, "")</f>
        <v>1</v>
      </c>
      <c r="AE33" s="4">
        <v>1</v>
      </c>
      <c r="AG33" s="10">
        <f>IF(COLUMNS($AG33:AG33)&lt;=$AE33, 1, "")</f>
        <v>1</v>
      </c>
      <c r="AH33" s="10" t="str">
        <f>IF(COLUMNS($AG33:AH33)&lt;=$AE33, 1, "")</f>
        <v/>
      </c>
      <c r="AI33" s="10" t="str">
        <f>IF(COLUMNS($AG33:AI33)&lt;=$AE33, 1, "")</f>
        <v/>
      </c>
      <c r="AJ33" s="10" t="str">
        <f>IF(COLUMNS($AG33:AJ33)&lt;=$AE33, 1, "")</f>
        <v/>
      </c>
      <c r="AK33" s="10" t="str">
        <f>IF(COLUMNS($AG33:AK33)&lt;=$AE33, 1, "")</f>
        <v/>
      </c>
      <c r="AL33" s="4">
        <v>1</v>
      </c>
      <c r="AN33" s="10">
        <f>IF(COLUMNS($AN33:AN33)&lt;=$AL33, 1, "")</f>
        <v>1</v>
      </c>
      <c r="AO33" s="10" t="str">
        <f>IF(COLUMNS($AN33:AO33)&lt;=$AL33, 1, "")</f>
        <v/>
      </c>
      <c r="AP33" s="10" t="str">
        <f>IF(COLUMNS($AN33:AP33)&lt;=$AL33, 1, "")</f>
        <v/>
      </c>
      <c r="AQ33" s="10" t="str">
        <f>IF(COLUMNS($AN33:AQ33)&lt;=$AL33, 1, "")</f>
        <v/>
      </c>
      <c r="AR33" s="10" t="str">
        <f>IF(COLUMNS($AN33:AR33)&lt;=$AL33, 1, "")</f>
        <v/>
      </c>
      <c r="AS33" s="4">
        <v>1</v>
      </c>
      <c r="AU33" s="10">
        <f>IF(COLUMNS($AU33:AU33)&lt;=$AS33, 1, "")</f>
        <v>1</v>
      </c>
      <c r="AV33" s="10" t="str">
        <f>IF(COLUMNS($AU33:AV33)&lt;=$AS33, 1, "")</f>
        <v/>
      </c>
      <c r="AW33" s="10" t="str">
        <f>IF(COLUMNS($AU33:AW33)&lt;=$AS33, 1, "")</f>
        <v/>
      </c>
      <c r="AX33" s="10" t="str">
        <f>IF(COLUMNS($AU33:AX33)&lt;=$AS33, 1, "")</f>
        <v/>
      </c>
      <c r="AY33" s="10" t="str">
        <f>IF(COLUMNS($AU33:AY33)&lt;=$AS33, 1, "")</f>
        <v/>
      </c>
      <c r="AZ33" s="4">
        <v>1</v>
      </c>
      <c r="BC33" s="4">
        <v>1</v>
      </c>
      <c r="BD33" s="10">
        <f>IF(COLUMNS($BD33:BD33)&lt;=$BC33, 1, "")</f>
        <v>1</v>
      </c>
      <c r="BE33" s="10" t="str">
        <f>IF(COLUMNS($BD33:BE33)&lt;=$BC33, 1, "")</f>
        <v/>
      </c>
      <c r="BF33" s="10" t="str">
        <f>IF(COLUMNS($BD33:BF33)&lt;=$BC33, 1, "")</f>
        <v/>
      </c>
      <c r="BG33" s="10" t="str">
        <f>IF(COLUMNS($BD33:BG33)&lt;=$BC33, 1, "")</f>
        <v/>
      </c>
      <c r="BH33" s="10" t="str">
        <f>IF(COLUMNS($BD33:BH33)&lt;=$BC33, 1, "")</f>
        <v/>
      </c>
    </row>
    <row r="34" spans="1:60" ht="21.6" thickTop="1" thickBot="1">
      <c r="A34" s="52" t="s">
        <v>41</v>
      </c>
      <c r="B34" s="4">
        <v>5</v>
      </c>
      <c r="D34" s="10">
        <f>IF(COLUMNS(D34:$D34)&lt;=$B34, 1, "")</f>
        <v>1</v>
      </c>
      <c r="E34" s="10">
        <f>IF(COLUMNS($D34:E34)&lt;=$B34, 1, "")</f>
        <v>1</v>
      </c>
      <c r="F34" s="10">
        <f>IF(COLUMNS($D34:F34)&lt;=$B34, 1, "")</f>
        <v>1</v>
      </c>
      <c r="G34" s="10">
        <f>IF(COLUMNS($D34:G34)&lt;=$B34, 1, "")</f>
        <v>1</v>
      </c>
      <c r="H34" s="10">
        <f>IF(COLUMNS($D34:H34)&lt;=$B34, 1, "")</f>
        <v>1</v>
      </c>
      <c r="I34" s="4">
        <v>5</v>
      </c>
      <c r="L34" s="10">
        <f>IF(COLUMNS($L34:L34)&lt;=$I34, 1, "")</f>
        <v>1</v>
      </c>
      <c r="M34" s="10">
        <f>IF(COLUMNS($L34:M34)&lt;=$I34, 1, "")</f>
        <v>1</v>
      </c>
      <c r="N34" s="10">
        <f>IF(COLUMNS($L34:N34)&lt;=$I34, 1, "")</f>
        <v>1</v>
      </c>
      <c r="O34" s="10">
        <f>IF(COLUMNS($L34:O34)&lt;=$I34, 1, "")</f>
        <v>1</v>
      </c>
      <c r="P34" s="10">
        <f>IF(COLUMNS($L34:P34)&lt;=$I34, 1, "")</f>
        <v>1</v>
      </c>
      <c r="Q34" s="4">
        <v>5</v>
      </c>
      <c r="S34" s="10">
        <f>IF(COLUMNS($S34:S34)&lt;=$Q34, 1, "")</f>
        <v>1</v>
      </c>
      <c r="T34" s="10">
        <f>IF(COLUMNS($S34:T34)&lt;=$Q34, 1, "")</f>
        <v>1</v>
      </c>
      <c r="U34" s="10">
        <f>IF(COLUMNS($S34:U34)&lt;=$Q34, 1, "")</f>
        <v>1</v>
      </c>
      <c r="V34" s="10">
        <f>IF(COLUMNS($S34:V34)&lt;=$Q34, 1, "")</f>
        <v>1</v>
      </c>
      <c r="W34" s="10">
        <f>IF(COLUMNS($S34:W34)&lt;=$Q34, 1, "")</f>
        <v>1</v>
      </c>
      <c r="X34" s="4">
        <v>5</v>
      </c>
      <c r="Z34" s="10">
        <f>IF(COLUMNS($Z34:Z34)&lt;=$X34, 1, "")</f>
        <v>1</v>
      </c>
      <c r="AA34" s="10">
        <f>IF(COLUMNS($Z34:AA34)&lt;=$X34, 1, "")</f>
        <v>1</v>
      </c>
      <c r="AB34" s="10">
        <f>IF(COLUMNS($Z34:AB34)&lt;=$X34, 1, "")</f>
        <v>1</v>
      </c>
      <c r="AC34" s="10">
        <f>IF(COLUMNS($Z34:AC34)&lt;=$X34, 1, "")</f>
        <v>1</v>
      </c>
      <c r="AD34" s="10">
        <f>IF(COLUMNS($Z34:AD34)&lt;=$X34, 1, "")</f>
        <v>1</v>
      </c>
      <c r="AE34" s="4">
        <v>5</v>
      </c>
      <c r="AG34" s="10">
        <f>IF(COLUMNS($AG34:AG34)&lt;=$AE34, 1, "")</f>
        <v>1</v>
      </c>
      <c r="AH34" s="10">
        <f>IF(COLUMNS($AG34:AH34)&lt;=$AE34, 1, "")</f>
        <v>1</v>
      </c>
      <c r="AI34" s="10">
        <f>IF(COLUMNS($AG34:AI34)&lt;=$AE34, 1, "")</f>
        <v>1</v>
      </c>
      <c r="AJ34" s="10">
        <f>IF(COLUMNS($AG34:AJ34)&lt;=$AE34, 1, "")</f>
        <v>1</v>
      </c>
      <c r="AK34" s="10">
        <f>IF(COLUMNS($AG34:AK34)&lt;=$AE34, 1, "")</f>
        <v>1</v>
      </c>
      <c r="AL34" s="4">
        <v>5</v>
      </c>
      <c r="AN34" s="10">
        <f>IF(COLUMNS($AN34:AN34)&lt;=$AL34, 1, "")</f>
        <v>1</v>
      </c>
      <c r="AO34" s="10">
        <f>IF(COLUMNS($AN34:AO34)&lt;=$AL34, 1, "")</f>
        <v>1</v>
      </c>
      <c r="AP34" s="10">
        <f>IF(COLUMNS($AN34:AP34)&lt;=$AL34, 1, "")</f>
        <v>1</v>
      </c>
      <c r="AQ34" s="10">
        <f>IF(COLUMNS($AN34:AQ34)&lt;=$AL34, 1, "")</f>
        <v>1</v>
      </c>
      <c r="AR34" s="10">
        <f>IF(COLUMNS($AN34:AR34)&lt;=$AL34, 1, "")</f>
        <v>1</v>
      </c>
      <c r="AS34" s="4">
        <v>0</v>
      </c>
      <c r="AU34" s="10" t="str">
        <f>IF(COLUMNS($AU34:AU34)&lt;=$AS34, 1, "")</f>
        <v/>
      </c>
      <c r="AV34" s="10" t="str">
        <f>IF(COLUMNS($AU34:AV34)&lt;=$AS34, 1, "")</f>
        <v/>
      </c>
      <c r="AW34" s="10" t="str">
        <f>IF(COLUMNS($AU34:AW34)&lt;=$AS34, 1, "")</f>
        <v/>
      </c>
      <c r="AX34" s="10" t="str">
        <f>IF(COLUMNS($AU34:AX34)&lt;=$AS34, 1, "")</f>
        <v/>
      </c>
      <c r="AY34" s="10" t="str">
        <f>IF(COLUMNS($AU34:AY34)&lt;=$AS34, 1, "")</f>
        <v/>
      </c>
      <c r="AZ34" s="4">
        <v>5</v>
      </c>
      <c r="BC34" s="4">
        <v>5</v>
      </c>
      <c r="BD34" s="10">
        <f>IF(COLUMNS($BD34:BD34)&lt;=$BC34, 1, "")</f>
        <v>1</v>
      </c>
      <c r="BE34" s="10">
        <f>IF(COLUMNS($BD34:BE34)&lt;=$BC34, 1, "")</f>
        <v>1</v>
      </c>
      <c r="BF34" s="10">
        <f>IF(COLUMNS($BD34:BF34)&lt;=$BC34, 1, "")</f>
        <v>1</v>
      </c>
      <c r="BG34" s="10">
        <f>IF(COLUMNS($BD34:BG34)&lt;=$BC34, 1, "")</f>
        <v>1</v>
      </c>
      <c r="BH34" s="10">
        <f>IF(COLUMNS($BD34:BH34)&lt;=$BC34, 1, "")</f>
        <v>1</v>
      </c>
    </row>
    <row r="35" spans="1:60" ht="21.6" thickTop="1" thickBot="1">
      <c r="A35" s="52" t="s">
        <v>42</v>
      </c>
      <c r="B35" s="4">
        <v>0</v>
      </c>
      <c r="D35" s="10" t="str">
        <f>IF(COLUMNS(D35:$D35)&lt;=$B35, 1, "")</f>
        <v/>
      </c>
      <c r="E35" s="10" t="str">
        <f>IF(COLUMNS($D35:E35)&lt;=$B35, 1, "")</f>
        <v/>
      </c>
      <c r="F35" s="10" t="str">
        <f>IF(COLUMNS($D35:F35)&lt;=$B35, 1, "")</f>
        <v/>
      </c>
      <c r="G35" s="10" t="str">
        <f>IF(COLUMNS($D35:G35)&lt;=$B35, 1, "")</f>
        <v/>
      </c>
      <c r="H35" s="10" t="str">
        <f>IF(COLUMNS($D35:H35)&lt;=$B35, 1, "")</f>
        <v/>
      </c>
      <c r="I35" s="4">
        <v>0</v>
      </c>
      <c r="L35" s="10" t="str">
        <f>IF(COLUMNS($L35:L35)&lt;=$I35, 1, "")</f>
        <v/>
      </c>
      <c r="M35" s="10" t="str">
        <f>IF(COLUMNS($L35:M35)&lt;=$I35, 1, "")</f>
        <v/>
      </c>
      <c r="N35" s="10" t="str">
        <f>IF(COLUMNS($L35:N35)&lt;=$I35, 1, "")</f>
        <v/>
      </c>
      <c r="O35" s="10" t="str">
        <f>IF(COLUMNS($L35:O35)&lt;=$I35, 1, "")</f>
        <v/>
      </c>
      <c r="P35" s="10" t="str">
        <f>IF(COLUMNS($L35:P35)&lt;=$I35, 1, "")</f>
        <v/>
      </c>
      <c r="Q35" s="4">
        <v>0</v>
      </c>
      <c r="S35" s="10" t="str">
        <f>IF(COLUMNS($S35:S35)&lt;=$Q35, 1, "")</f>
        <v/>
      </c>
      <c r="T35" s="10" t="str">
        <f>IF(COLUMNS($S35:T35)&lt;=$Q35, 1, "")</f>
        <v/>
      </c>
      <c r="U35" s="10" t="str">
        <f>IF(COLUMNS($S35:U35)&lt;=$Q35, 1, "")</f>
        <v/>
      </c>
      <c r="V35" s="10" t="str">
        <f>IF(COLUMNS($S35:V35)&lt;=$Q35, 1, "")</f>
        <v/>
      </c>
      <c r="W35" s="10" t="str">
        <f>IF(COLUMNS($S35:W35)&lt;=$Q35, 1, "")</f>
        <v/>
      </c>
      <c r="X35" s="4">
        <v>0</v>
      </c>
      <c r="Z35" s="10" t="str">
        <f>IF(COLUMNS($Z35:Z35)&lt;=$X35, 1, "")</f>
        <v/>
      </c>
      <c r="AA35" s="10" t="str">
        <f>IF(COLUMNS($Z35:AA35)&lt;=$X35, 1, "")</f>
        <v/>
      </c>
      <c r="AB35" s="10" t="str">
        <f>IF(COLUMNS($Z35:AB35)&lt;=$X35, 1, "")</f>
        <v/>
      </c>
      <c r="AC35" s="10" t="str">
        <f>IF(COLUMNS($Z35:AC35)&lt;=$X35, 1, "")</f>
        <v/>
      </c>
      <c r="AD35" s="10" t="str">
        <f>IF(COLUMNS($Z35:AD35)&lt;=$X35, 1, "")</f>
        <v/>
      </c>
      <c r="AE35" s="4">
        <v>0</v>
      </c>
      <c r="AG35" s="10" t="str">
        <f>IF(COLUMNS($AG35:AG35)&lt;=$AE35, 1, "")</f>
        <v/>
      </c>
      <c r="AH35" s="10" t="str">
        <f>IF(COLUMNS($AG35:AH35)&lt;=$AE35, 1, "")</f>
        <v/>
      </c>
      <c r="AI35" s="10" t="str">
        <f>IF(COLUMNS($AG35:AI35)&lt;=$AE35, 1, "")</f>
        <v/>
      </c>
      <c r="AJ35" s="10" t="str">
        <f>IF(COLUMNS($AG35:AJ35)&lt;=$AE35, 1, "")</f>
        <v/>
      </c>
      <c r="AK35" s="10" t="str">
        <f>IF(COLUMNS($AG35:AK35)&lt;=$AE35, 1, "")</f>
        <v/>
      </c>
      <c r="AL35" s="4">
        <v>0</v>
      </c>
      <c r="AN35" s="10" t="str">
        <f>IF(COLUMNS($AN35:AN35)&lt;=$AL35, 1, "")</f>
        <v/>
      </c>
      <c r="AO35" s="10" t="str">
        <f>IF(COLUMNS($AN35:AO35)&lt;=$AL35, 1, "")</f>
        <v/>
      </c>
      <c r="AP35" s="10" t="str">
        <f>IF(COLUMNS($AN35:AP35)&lt;=$AL35, 1, "")</f>
        <v/>
      </c>
      <c r="AQ35" s="10" t="str">
        <f>IF(COLUMNS($AN35:AQ35)&lt;=$AL35, 1, "")</f>
        <v/>
      </c>
      <c r="AR35" s="10" t="str">
        <f>IF(COLUMNS($AN35:AR35)&lt;=$AL35, 1, "")</f>
        <v/>
      </c>
      <c r="AS35" s="4">
        <v>0</v>
      </c>
      <c r="AU35" s="10" t="str">
        <f>IF(COLUMNS($AU35:AU35)&lt;=$AS35, 1, "")</f>
        <v/>
      </c>
      <c r="AV35" s="10" t="str">
        <f>IF(COLUMNS($AU35:AV35)&lt;=$AS35, 1, "")</f>
        <v/>
      </c>
      <c r="AW35" s="10" t="str">
        <f>IF(COLUMNS($AU35:AW35)&lt;=$AS35, 1, "")</f>
        <v/>
      </c>
      <c r="AX35" s="10" t="str">
        <f>IF(COLUMNS($AU35:AX35)&lt;=$AS35, 1, "")</f>
        <v/>
      </c>
      <c r="AY35" s="10" t="str">
        <f>IF(COLUMNS($AU35:AY35)&lt;=$AS35, 1, "")</f>
        <v/>
      </c>
      <c r="AZ35" s="4">
        <v>5</v>
      </c>
      <c r="BC35" s="4">
        <v>5</v>
      </c>
      <c r="BD35" s="10">
        <f>IF(COLUMNS($BD35:BD35)&lt;=$BC35, 1, "")</f>
        <v>1</v>
      </c>
      <c r="BE35" s="10">
        <f>IF(COLUMNS($BD35:BE35)&lt;=$BC35, 1, "")</f>
        <v>1</v>
      </c>
      <c r="BF35" s="10">
        <f>IF(COLUMNS($BD35:BF35)&lt;=$BC35, 1, "")</f>
        <v>1</v>
      </c>
      <c r="BG35" s="10">
        <f>IF(COLUMNS($BD35:BG35)&lt;=$BC35, 1, "")</f>
        <v>1</v>
      </c>
      <c r="BH35" s="10">
        <f>IF(COLUMNS($BD35:BH35)&lt;=$BC35, 1, "")</f>
        <v>1</v>
      </c>
    </row>
    <row r="36" spans="1:60" ht="21.6" thickTop="1" thickBot="1">
      <c r="A36" s="52" t="s">
        <v>44</v>
      </c>
      <c r="B36" s="4">
        <v>5</v>
      </c>
      <c r="D36" s="10">
        <f>IF(COLUMNS(D36:$D36)&lt;=$B36, 1, "")</f>
        <v>1</v>
      </c>
      <c r="E36" s="10">
        <f>IF(COLUMNS($D36:E36)&lt;=$B36, 1, "")</f>
        <v>1</v>
      </c>
      <c r="F36" s="10">
        <f>IF(COLUMNS($D36:F36)&lt;=$B36, 1, "")</f>
        <v>1</v>
      </c>
      <c r="G36" s="10">
        <f>IF(COLUMNS($D36:G36)&lt;=$B36, 1, "")</f>
        <v>1</v>
      </c>
      <c r="H36" s="10">
        <f>IF(COLUMNS($D36:H36)&lt;=$B36, 1, "")</f>
        <v>1</v>
      </c>
      <c r="I36" s="4">
        <v>5</v>
      </c>
      <c r="L36" s="10">
        <f>IF(COLUMNS($L36:L36)&lt;=$I36, 1, "")</f>
        <v>1</v>
      </c>
      <c r="M36" s="10">
        <f>IF(COLUMNS($L36:M36)&lt;=$I36, 1, "")</f>
        <v>1</v>
      </c>
      <c r="N36" s="10">
        <f>IF(COLUMNS($L36:N36)&lt;=$I36, 1, "")</f>
        <v>1</v>
      </c>
      <c r="O36" s="10">
        <f>IF(COLUMNS($L36:O36)&lt;=$I36, 1, "")</f>
        <v>1</v>
      </c>
      <c r="P36" s="10">
        <f>IF(COLUMNS($L36:P36)&lt;=$I36, 1, "")</f>
        <v>1</v>
      </c>
      <c r="Q36" s="4">
        <v>5</v>
      </c>
      <c r="S36" s="10">
        <f>IF(COLUMNS($S36:S36)&lt;=$Q36, 1, "")</f>
        <v>1</v>
      </c>
      <c r="T36" s="10">
        <f>IF(COLUMNS($S36:T36)&lt;=$Q36, 1, "")</f>
        <v>1</v>
      </c>
      <c r="U36" s="10">
        <f>IF(COLUMNS($S36:U36)&lt;=$Q36, 1, "")</f>
        <v>1</v>
      </c>
      <c r="V36" s="10">
        <f>IF(COLUMNS($S36:V36)&lt;=$Q36, 1, "")</f>
        <v>1</v>
      </c>
      <c r="W36" s="10">
        <f>IF(COLUMNS($S36:W36)&lt;=$Q36, 1, "")</f>
        <v>1</v>
      </c>
      <c r="X36" s="4">
        <v>5</v>
      </c>
      <c r="Z36" s="10">
        <f>IF(COLUMNS($Z36:Z36)&lt;=$X36, 1, "")</f>
        <v>1</v>
      </c>
      <c r="AA36" s="10">
        <f>IF(COLUMNS($Z36:AA36)&lt;=$X36, 1, "")</f>
        <v>1</v>
      </c>
      <c r="AB36" s="10">
        <f>IF(COLUMNS($Z36:AB36)&lt;=$X36, 1, "")</f>
        <v>1</v>
      </c>
      <c r="AC36" s="10">
        <f>IF(COLUMNS($Z36:AC36)&lt;=$X36, 1, "")</f>
        <v>1</v>
      </c>
      <c r="AD36" s="10">
        <f>IF(COLUMNS($Z36:AD36)&lt;=$X36, 1, "")</f>
        <v>1</v>
      </c>
      <c r="AE36" s="4">
        <v>5</v>
      </c>
      <c r="AG36" s="10">
        <f>IF(COLUMNS($AG36:AG36)&lt;=$AE36, 1, "")</f>
        <v>1</v>
      </c>
      <c r="AH36" s="10">
        <f>IF(COLUMNS($AG36:AH36)&lt;=$AE36, 1, "")</f>
        <v>1</v>
      </c>
      <c r="AI36" s="10">
        <f>IF(COLUMNS($AG36:AI36)&lt;=$AE36, 1, "")</f>
        <v>1</v>
      </c>
      <c r="AJ36" s="10">
        <f>IF(COLUMNS($AG36:AJ36)&lt;=$AE36, 1, "")</f>
        <v>1</v>
      </c>
      <c r="AK36" s="10">
        <f>IF(COLUMNS($AG36:AK36)&lt;=$AE36, 1, "")</f>
        <v>1</v>
      </c>
      <c r="AL36" s="4">
        <v>5</v>
      </c>
      <c r="AN36" s="10">
        <f>IF(COLUMNS($AN36:AN36)&lt;=$AL36, 1, "")</f>
        <v>1</v>
      </c>
      <c r="AO36" s="10">
        <f>IF(COLUMNS($AN36:AO36)&lt;=$AL36, 1, "")</f>
        <v>1</v>
      </c>
      <c r="AP36" s="10">
        <f>IF(COLUMNS($AN36:AP36)&lt;=$AL36, 1, "")</f>
        <v>1</v>
      </c>
      <c r="AQ36" s="10">
        <f>IF(COLUMNS($AN36:AQ36)&lt;=$AL36, 1, "")</f>
        <v>1</v>
      </c>
      <c r="AR36" s="10">
        <f>IF(COLUMNS($AN36:AR36)&lt;=$AL36, 1, "")</f>
        <v>1</v>
      </c>
      <c r="AS36" s="4">
        <v>5</v>
      </c>
      <c r="AU36" s="10">
        <f>IF(COLUMNS($AU36:AU36)&lt;=$AS36, 1, "")</f>
        <v>1</v>
      </c>
      <c r="AV36" s="10">
        <f>IF(COLUMNS($AU36:AV36)&lt;=$AS36, 1, "")</f>
        <v>1</v>
      </c>
      <c r="AW36" s="10">
        <f>IF(COLUMNS($AU36:AW36)&lt;=$AS36, 1, "")</f>
        <v>1</v>
      </c>
      <c r="AX36" s="10">
        <f>IF(COLUMNS($AU36:AX36)&lt;=$AS36, 1, "")</f>
        <v>1</v>
      </c>
      <c r="AY36" s="10">
        <f>IF(COLUMNS($AU36:AY36)&lt;=$AS36, 1, "")</f>
        <v>1</v>
      </c>
      <c r="AZ36" s="4">
        <v>5</v>
      </c>
      <c r="BC36" s="4">
        <v>5</v>
      </c>
      <c r="BD36" s="10">
        <f>IF(COLUMNS($BD36:BD36)&lt;=$BC36, 1, "")</f>
        <v>1</v>
      </c>
      <c r="BE36" s="10">
        <f>IF(COLUMNS($BD36:BE36)&lt;=$BC36, 1, "")</f>
        <v>1</v>
      </c>
      <c r="BF36" s="10">
        <f>IF(COLUMNS($BD36:BF36)&lt;=$BC36, 1, "")</f>
        <v>1</v>
      </c>
      <c r="BG36" s="10">
        <f>IF(COLUMNS($BD36:BG36)&lt;=$BC36, 1, "")</f>
        <v>1</v>
      </c>
      <c r="BH36" s="10">
        <f>IF(COLUMNS($BD36:BH36)&lt;=$BC36, 1, "")</f>
        <v>1</v>
      </c>
    </row>
    <row r="37" spans="1:60" ht="21.6" thickTop="1" thickBot="1">
      <c r="A37" s="52" t="s">
        <v>45</v>
      </c>
      <c r="B37" s="4">
        <v>5</v>
      </c>
      <c r="D37" s="10">
        <f>IF(COLUMNS(D37:$D37)&lt;=$B37, 1, "")</f>
        <v>1</v>
      </c>
      <c r="E37" s="10">
        <f>IF(COLUMNS($D37:E37)&lt;=$B37, 1, "")</f>
        <v>1</v>
      </c>
      <c r="F37" s="10">
        <f>IF(COLUMNS($D37:F37)&lt;=$B37, 1, "")</f>
        <v>1</v>
      </c>
      <c r="G37" s="10">
        <f>IF(COLUMNS($D37:G37)&lt;=$B37, 1, "")</f>
        <v>1</v>
      </c>
      <c r="H37" s="10">
        <f>IF(COLUMNS($D37:H37)&lt;=$B37, 1, "")</f>
        <v>1</v>
      </c>
      <c r="I37" s="4">
        <v>5</v>
      </c>
      <c r="L37" s="10">
        <f>IF(COLUMNS($L37:L37)&lt;=$I37, 1, "")</f>
        <v>1</v>
      </c>
      <c r="M37" s="10">
        <f>IF(COLUMNS($L37:M37)&lt;=$I37, 1, "")</f>
        <v>1</v>
      </c>
      <c r="N37" s="10">
        <f>IF(COLUMNS($L37:N37)&lt;=$I37, 1, "")</f>
        <v>1</v>
      </c>
      <c r="O37" s="10">
        <f>IF(COLUMNS($L37:O37)&lt;=$I37, 1, "")</f>
        <v>1</v>
      </c>
      <c r="P37" s="10">
        <f>IF(COLUMNS($L37:P37)&lt;=$I37, 1, "")</f>
        <v>1</v>
      </c>
      <c r="Q37" s="4">
        <v>5</v>
      </c>
      <c r="S37" s="10">
        <f>IF(COLUMNS($S37:S37)&lt;=$Q37, 1, "")</f>
        <v>1</v>
      </c>
      <c r="T37" s="10">
        <f>IF(COLUMNS($S37:T37)&lt;=$Q37, 1, "")</f>
        <v>1</v>
      </c>
      <c r="U37" s="10">
        <f>IF(COLUMNS($S37:U37)&lt;=$Q37, 1, "")</f>
        <v>1</v>
      </c>
      <c r="V37" s="10">
        <f>IF(COLUMNS($S37:V37)&lt;=$Q37, 1, "")</f>
        <v>1</v>
      </c>
      <c r="W37" s="10">
        <f>IF(COLUMNS($S37:W37)&lt;=$Q37, 1, "")</f>
        <v>1</v>
      </c>
      <c r="X37" s="4">
        <v>5</v>
      </c>
      <c r="Z37" s="10">
        <f>IF(COLUMNS($Z37:Z37)&lt;=$X37, 1, "")</f>
        <v>1</v>
      </c>
      <c r="AA37" s="10">
        <f>IF(COLUMNS($Z37:AA37)&lt;=$X37, 1, "")</f>
        <v>1</v>
      </c>
      <c r="AB37" s="10">
        <f>IF(COLUMNS($Z37:AB37)&lt;=$X37, 1, "")</f>
        <v>1</v>
      </c>
      <c r="AC37" s="10">
        <f>IF(COLUMNS($Z37:AC37)&lt;=$X37, 1, "")</f>
        <v>1</v>
      </c>
      <c r="AD37" s="10">
        <f>IF(COLUMNS($Z37:AD37)&lt;=$X37, 1, "")</f>
        <v>1</v>
      </c>
      <c r="AE37" s="4">
        <v>5</v>
      </c>
      <c r="AG37" s="10">
        <f>IF(COLUMNS($AG37:AG37)&lt;=$AE37, 1, "")</f>
        <v>1</v>
      </c>
      <c r="AH37" s="10">
        <f>IF(COLUMNS($AG37:AH37)&lt;=$AE37, 1, "")</f>
        <v>1</v>
      </c>
      <c r="AI37" s="10">
        <f>IF(COLUMNS($AG37:AI37)&lt;=$AE37, 1, "")</f>
        <v>1</v>
      </c>
      <c r="AJ37" s="10">
        <f>IF(COLUMNS($AG37:AJ37)&lt;=$AE37, 1, "")</f>
        <v>1</v>
      </c>
      <c r="AK37" s="10">
        <f>IF(COLUMNS($AG37:AK37)&lt;=$AE37, 1, "")</f>
        <v>1</v>
      </c>
      <c r="AL37" s="4">
        <v>5</v>
      </c>
      <c r="AN37" s="10">
        <f>IF(COLUMNS($AN37:AN37)&lt;=$AL37, 1, "")</f>
        <v>1</v>
      </c>
      <c r="AO37" s="10">
        <f>IF(COLUMNS($AN37:AO37)&lt;=$AL37, 1, "")</f>
        <v>1</v>
      </c>
      <c r="AP37" s="10">
        <f>IF(COLUMNS($AN37:AP37)&lt;=$AL37, 1, "")</f>
        <v>1</v>
      </c>
      <c r="AQ37" s="10">
        <f>IF(COLUMNS($AN37:AQ37)&lt;=$AL37, 1, "")</f>
        <v>1</v>
      </c>
      <c r="AR37" s="10">
        <f>IF(COLUMNS($AN37:AR37)&lt;=$AL37, 1, "")</f>
        <v>1</v>
      </c>
      <c r="AS37" s="4">
        <v>5</v>
      </c>
      <c r="AU37" s="10">
        <f>IF(COLUMNS($AU37:AU37)&lt;=$AS37, 1, "")</f>
        <v>1</v>
      </c>
      <c r="AV37" s="10">
        <f>IF(COLUMNS($AU37:AV37)&lt;=$AS37, 1, "")</f>
        <v>1</v>
      </c>
      <c r="AW37" s="10">
        <f>IF(COLUMNS($AU37:AW37)&lt;=$AS37, 1, "")</f>
        <v>1</v>
      </c>
      <c r="AX37" s="10">
        <f>IF(COLUMNS($AU37:AX37)&lt;=$AS37, 1, "")</f>
        <v>1</v>
      </c>
      <c r="AY37" s="10">
        <f>IF(COLUMNS($AU37:AY37)&lt;=$AS37, 1, "")</f>
        <v>1</v>
      </c>
      <c r="AZ37" s="4">
        <v>5</v>
      </c>
      <c r="BC37" s="4">
        <v>5</v>
      </c>
      <c r="BD37" s="10">
        <f>IF(COLUMNS($BD37:BD37)&lt;=$BC37, 1, "")</f>
        <v>1</v>
      </c>
      <c r="BE37" s="10">
        <f>IF(COLUMNS($BD37:BE37)&lt;=$BC37, 1, "")</f>
        <v>1</v>
      </c>
      <c r="BF37" s="10">
        <f>IF(COLUMNS($BD37:BF37)&lt;=$BC37, 1, "")</f>
        <v>1</v>
      </c>
      <c r="BG37" s="10">
        <f>IF(COLUMNS($BD37:BG37)&lt;=$BC37, 1, "")</f>
        <v>1</v>
      </c>
      <c r="BH37" s="10">
        <f>IF(COLUMNS($BD37:BH37)&lt;=$BC37, 1, "")</f>
        <v>1</v>
      </c>
    </row>
    <row r="38" spans="1:60" ht="15" thickTop="1"/>
  </sheetData>
  <mergeCells count="64">
    <mergeCell ref="BD17:BG17"/>
    <mergeCell ref="BD19:BG19"/>
    <mergeCell ref="BD21:BG21"/>
    <mergeCell ref="BD23:BG23"/>
    <mergeCell ref="BD9:BG9"/>
    <mergeCell ref="BD11:BG11"/>
    <mergeCell ref="BD13:BG13"/>
    <mergeCell ref="BD15:BG15"/>
    <mergeCell ref="AV21:AY21"/>
    <mergeCell ref="E23:F23"/>
    <mergeCell ref="M23:P23"/>
    <mergeCell ref="T23:W23"/>
    <mergeCell ref="AA23:AD23"/>
    <mergeCell ref="AH23:AK23"/>
    <mergeCell ref="AO23:AR23"/>
    <mergeCell ref="AV23:AY23"/>
    <mergeCell ref="D21:G21"/>
    <mergeCell ref="M21:P21"/>
    <mergeCell ref="T21:W21"/>
    <mergeCell ref="AA21:AD21"/>
    <mergeCell ref="AH21:AK21"/>
    <mergeCell ref="AO21:AR21"/>
    <mergeCell ref="AV17:AY17"/>
    <mergeCell ref="D19:G19"/>
    <mergeCell ref="M19:P19"/>
    <mergeCell ref="T19:W19"/>
    <mergeCell ref="AA19:AD19"/>
    <mergeCell ref="AH19:AK19"/>
    <mergeCell ref="AO19:AR19"/>
    <mergeCell ref="AV19:AY19"/>
    <mergeCell ref="D17:G17"/>
    <mergeCell ref="M17:P17"/>
    <mergeCell ref="T17:W17"/>
    <mergeCell ref="AA17:AD17"/>
    <mergeCell ref="AH17:AK17"/>
    <mergeCell ref="AO17:AR17"/>
    <mergeCell ref="AV13:AY13"/>
    <mergeCell ref="D15:G15"/>
    <mergeCell ref="M15:P15"/>
    <mergeCell ref="T15:W15"/>
    <mergeCell ref="AA15:AD15"/>
    <mergeCell ref="AH15:AK15"/>
    <mergeCell ref="AO15:AR15"/>
    <mergeCell ref="AV15:AY15"/>
    <mergeCell ref="D13:G13"/>
    <mergeCell ref="M13:P13"/>
    <mergeCell ref="T13:W13"/>
    <mergeCell ref="AA13:AD13"/>
    <mergeCell ref="AH13:AK13"/>
    <mergeCell ref="AO13:AR13"/>
    <mergeCell ref="AO11:AR11"/>
    <mergeCell ref="AV11:AY11"/>
    <mergeCell ref="D9:G9"/>
    <mergeCell ref="M9:P9"/>
    <mergeCell ref="T9:W9"/>
    <mergeCell ref="AA9:AD9"/>
    <mergeCell ref="AH9:AK9"/>
    <mergeCell ref="AO9:AR9"/>
    <mergeCell ref="AV9:AY9"/>
    <mergeCell ref="D11:G11"/>
    <mergeCell ref="M11:P11"/>
    <mergeCell ref="T11:W11"/>
    <mergeCell ref="AA11:AD11"/>
    <mergeCell ref="AH11:AK11"/>
  </mergeCells>
  <conditionalFormatting sqref="D28:D37">
    <cfRule type="cellIs" dxfId="91" priority="101" operator="equal">
      <formula>1</formula>
    </cfRule>
  </conditionalFormatting>
  <conditionalFormatting sqref="D28:H37">
    <cfRule type="cellIs" dxfId="90" priority="106" operator="equal">
      <formula>1</formula>
    </cfRule>
  </conditionalFormatting>
  <conditionalFormatting sqref="E28:E37">
    <cfRule type="cellIs" dxfId="89" priority="102" operator="equal">
      <formula>1</formula>
    </cfRule>
  </conditionalFormatting>
  <conditionalFormatting sqref="E29">
    <cfRule type="cellIs" dxfId="88" priority="107" operator="equal">
      <formula>1</formula>
    </cfRule>
  </conditionalFormatting>
  <conditionalFormatting sqref="F28:F37">
    <cfRule type="cellIs" dxfId="87" priority="103" operator="equal">
      <formula>1</formula>
    </cfRule>
  </conditionalFormatting>
  <conditionalFormatting sqref="F29">
    <cfRule type="cellIs" dxfId="86" priority="108" operator="equal">
      <formula>1</formula>
    </cfRule>
  </conditionalFormatting>
  <conditionalFormatting sqref="G28:G37">
    <cfRule type="cellIs" dxfId="85" priority="104" operator="equal">
      <formula>1</formula>
    </cfRule>
  </conditionalFormatting>
  <conditionalFormatting sqref="G29">
    <cfRule type="cellIs" dxfId="84" priority="109" operator="equal">
      <formula>1</formula>
    </cfRule>
  </conditionalFormatting>
  <conditionalFormatting sqref="H28:H37">
    <cfRule type="cellIs" dxfId="83" priority="105" operator="equal">
      <formula>1</formula>
    </cfRule>
  </conditionalFormatting>
  <conditionalFormatting sqref="H29">
    <cfRule type="cellIs" dxfId="82" priority="110" operator="equal">
      <formula>1</formula>
    </cfRule>
  </conditionalFormatting>
  <conditionalFormatting sqref="L28">
    <cfRule type="cellIs" dxfId="81" priority="90" operator="equal">
      <formula>1</formula>
    </cfRule>
  </conditionalFormatting>
  <conditionalFormatting sqref="L34:L37">
    <cfRule type="cellIs" dxfId="80" priority="95" operator="equal">
      <formula>1</formula>
    </cfRule>
  </conditionalFormatting>
  <conditionalFormatting sqref="L28:P37">
    <cfRule type="cellIs" dxfId="79" priority="96" operator="equal">
      <formula>1</formula>
    </cfRule>
  </conditionalFormatting>
  <conditionalFormatting sqref="M28:M37">
    <cfRule type="cellIs" dxfId="78" priority="91" operator="equal">
      <formula>1</formula>
    </cfRule>
  </conditionalFormatting>
  <conditionalFormatting sqref="M29">
    <cfRule type="cellIs" dxfId="77" priority="97" operator="equal">
      <formula>1</formula>
    </cfRule>
  </conditionalFormatting>
  <conditionalFormatting sqref="N28:N37">
    <cfRule type="cellIs" dxfId="76" priority="92" operator="equal">
      <formula>1</formula>
    </cfRule>
  </conditionalFormatting>
  <conditionalFormatting sqref="N29">
    <cfRule type="cellIs" dxfId="75" priority="98" operator="equal">
      <formula>1</formula>
    </cfRule>
  </conditionalFormatting>
  <conditionalFormatting sqref="O28:O37">
    <cfRule type="cellIs" dxfId="74" priority="93" operator="equal">
      <formula>1</formula>
    </cfRule>
  </conditionalFormatting>
  <conditionalFormatting sqref="O29">
    <cfRule type="cellIs" dxfId="73" priority="99" operator="equal">
      <formula>1</formula>
    </cfRule>
  </conditionalFormatting>
  <conditionalFormatting sqref="P28:P37">
    <cfRule type="cellIs" dxfId="72" priority="94" operator="equal">
      <formula>1</formula>
    </cfRule>
  </conditionalFormatting>
  <conditionalFormatting sqref="P29">
    <cfRule type="cellIs" dxfId="71" priority="100" operator="equal">
      <formula>1</formula>
    </cfRule>
  </conditionalFormatting>
  <conditionalFormatting sqref="S28">
    <cfRule type="cellIs" dxfId="70" priority="79" operator="equal">
      <formula>1</formula>
    </cfRule>
  </conditionalFormatting>
  <conditionalFormatting sqref="S34:S37">
    <cfRule type="cellIs" dxfId="69" priority="84" operator="equal">
      <formula>1</formula>
    </cfRule>
  </conditionalFormatting>
  <conditionalFormatting sqref="S28:W37">
    <cfRule type="cellIs" dxfId="68" priority="85" operator="equal">
      <formula>1</formula>
    </cfRule>
  </conditionalFormatting>
  <conditionalFormatting sqref="T28:T37">
    <cfRule type="cellIs" dxfId="67" priority="80" operator="equal">
      <formula>1</formula>
    </cfRule>
  </conditionalFormatting>
  <conditionalFormatting sqref="T29">
    <cfRule type="cellIs" dxfId="66" priority="86" operator="equal">
      <formula>1</formula>
    </cfRule>
  </conditionalFormatting>
  <conditionalFormatting sqref="U28:U37">
    <cfRule type="cellIs" dxfId="65" priority="81" operator="equal">
      <formula>1</formula>
    </cfRule>
  </conditionalFormatting>
  <conditionalFormatting sqref="U29">
    <cfRule type="cellIs" dxfId="64" priority="87" operator="equal">
      <formula>1</formula>
    </cfRule>
  </conditionalFormatting>
  <conditionalFormatting sqref="V28:V37">
    <cfRule type="cellIs" dxfId="63" priority="82" operator="equal">
      <formula>1</formula>
    </cfRule>
  </conditionalFormatting>
  <conditionalFormatting sqref="V29">
    <cfRule type="cellIs" dxfId="62" priority="88" operator="equal">
      <formula>1</formula>
    </cfRule>
  </conditionalFormatting>
  <conditionalFormatting sqref="W28:W37">
    <cfRule type="cellIs" dxfId="61" priority="83" operator="equal">
      <formula>1</formula>
    </cfRule>
  </conditionalFormatting>
  <conditionalFormatting sqref="W29">
    <cfRule type="cellIs" dxfId="60" priority="89" operator="equal">
      <formula>1</formula>
    </cfRule>
  </conditionalFormatting>
  <conditionalFormatting sqref="Z28">
    <cfRule type="cellIs" dxfId="59" priority="68" operator="equal">
      <formula>1</formula>
    </cfRule>
  </conditionalFormatting>
  <conditionalFormatting sqref="Z34:Z37">
    <cfRule type="cellIs" dxfId="58" priority="73" operator="equal">
      <formula>1</formula>
    </cfRule>
  </conditionalFormatting>
  <conditionalFormatting sqref="Z28:AD37">
    <cfRule type="cellIs" dxfId="57" priority="74" operator="equal">
      <formula>1</formula>
    </cfRule>
  </conditionalFormatting>
  <conditionalFormatting sqref="AA28:AA37">
    <cfRule type="cellIs" dxfId="56" priority="69" operator="equal">
      <formula>1</formula>
    </cfRule>
  </conditionalFormatting>
  <conditionalFormatting sqref="AA29">
    <cfRule type="cellIs" dxfId="55" priority="75" operator="equal">
      <formula>1</formula>
    </cfRule>
  </conditionalFormatting>
  <conditionalFormatting sqref="AB28:AB37">
    <cfRule type="cellIs" dxfId="54" priority="70" operator="equal">
      <formula>1</formula>
    </cfRule>
  </conditionalFormatting>
  <conditionalFormatting sqref="AB29">
    <cfRule type="cellIs" dxfId="53" priority="76" operator="equal">
      <formula>1</formula>
    </cfRule>
  </conditionalFormatting>
  <conditionalFormatting sqref="AC28:AC37">
    <cfRule type="cellIs" dxfId="52" priority="71" operator="equal">
      <formula>1</formula>
    </cfRule>
  </conditionalFormatting>
  <conditionalFormatting sqref="AC29">
    <cfRule type="cellIs" dxfId="51" priority="77" operator="equal">
      <formula>1</formula>
    </cfRule>
  </conditionalFormatting>
  <conditionalFormatting sqref="AD28:AD37">
    <cfRule type="cellIs" dxfId="50" priority="72" operator="equal">
      <formula>1</formula>
    </cfRule>
  </conditionalFormatting>
  <conditionalFormatting sqref="AD29">
    <cfRule type="cellIs" dxfId="49" priority="78" operator="equal">
      <formula>1</formula>
    </cfRule>
  </conditionalFormatting>
  <conditionalFormatting sqref="AG28">
    <cfRule type="cellIs" dxfId="48" priority="57" operator="equal">
      <formula>1</formula>
    </cfRule>
  </conditionalFormatting>
  <conditionalFormatting sqref="AG34:AG37">
    <cfRule type="cellIs" dxfId="47" priority="62" operator="equal">
      <formula>1</formula>
    </cfRule>
  </conditionalFormatting>
  <conditionalFormatting sqref="AG28:AK37">
    <cfRule type="cellIs" dxfId="46" priority="63" operator="equal">
      <formula>1</formula>
    </cfRule>
  </conditionalFormatting>
  <conditionalFormatting sqref="AH28:AH37">
    <cfRule type="cellIs" dxfId="45" priority="58" operator="equal">
      <formula>1</formula>
    </cfRule>
  </conditionalFormatting>
  <conditionalFormatting sqref="AH29">
    <cfRule type="cellIs" dxfId="44" priority="64" operator="equal">
      <formula>1</formula>
    </cfRule>
  </conditionalFormatting>
  <conditionalFormatting sqref="AI28:AI37">
    <cfRule type="cellIs" dxfId="43" priority="59" operator="equal">
      <formula>1</formula>
    </cfRule>
  </conditionalFormatting>
  <conditionalFormatting sqref="AI29">
    <cfRule type="cellIs" dxfId="42" priority="65" operator="equal">
      <formula>1</formula>
    </cfRule>
  </conditionalFormatting>
  <conditionalFormatting sqref="AJ28:AJ37">
    <cfRule type="cellIs" dxfId="41" priority="60" operator="equal">
      <formula>1</formula>
    </cfRule>
  </conditionalFormatting>
  <conditionalFormatting sqref="AJ29">
    <cfRule type="cellIs" dxfId="40" priority="66" operator="equal">
      <formula>1</formula>
    </cfRule>
  </conditionalFormatting>
  <conditionalFormatting sqref="AK28:AK37">
    <cfRule type="cellIs" dxfId="39" priority="61" operator="equal">
      <formula>1</formula>
    </cfRule>
  </conditionalFormatting>
  <conditionalFormatting sqref="AK29">
    <cfRule type="cellIs" dxfId="38" priority="67" operator="equal">
      <formula>1</formula>
    </cfRule>
  </conditionalFormatting>
  <conditionalFormatting sqref="AN28">
    <cfRule type="cellIs" dxfId="37" priority="46" operator="equal">
      <formula>1</formula>
    </cfRule>
  </conditionalFormatting>
  <conditionalFormatting sqref="AN34:AN37">
    <cfRule type="cellIs" dxfId="36" priority="51" operator="equal">
      <formula>1</formula>
    </cfRule>
  </conditionalFormatting>
  <conditionalFormatting sqref="AN28:AR37">
    <cfRule type="cellIs" dxfId="35" priority="52" operator="equal">
      <formula>1</formula>
    </cfRule>
  </conditionalFormatting>
  <conditionalFormatting sqref="AO28:AO37">
    <cfRule type="cellIs" dxfId="34" priority="47" operator="equal">
      <formula>1</formula>
    </cfRule>
  </conditionalFormatting>
  <conditionalFormatting sqref="AO29">
    <cfRule type="cellIs" dxfId="33" priority="53" operator="equal">
      <formula>1</formula>
    </cfRule>
  </conditionalFormatting>
  <conditionalFormatting sqref="AP28:AP37">
    <cfRule type="cellIs" dxfId="32" priority="48" operator="equal">
      <formula>1</formula>
    </cfRule>
  </conditionalFormatting>
  <conditionalFormatting sqref="AP29">
    <cfRule type="cellIs" dxfId="31" priority="54" operator="equal">
      <formula>1</formula>
    </cfRule>
  </conditionalFormatting>
  <conditionalFormatting sqref="AQ28:AQ37">
    <cfRule type="cellIs" dxfId="30" priority="49" operator="equal">
      <formula>1</formula>
    </cfRule>
  </conditionalFormatting>
  <conditionalFormatting sqref="AQ29">
    <cfRule type="cellIs" dxfId="29" priority="55" operator="equal">
      <formula>1</formula>
    </cfRule>
  </conditionalFormatting>
  <conditionalFormatting sqref="AR28:AR37">
    <cfRule type="cellIs" dxfId="28" priority="50" operator="equal">
      <formula>1</formula>
    </cfRule>
  </conditionalFormatting>
  <conditionalFormatting sqref="AR29">
    <cfRule type="cellIs" dxfId="27" priority="56" operator="equal">
      <formula>1</formula>
    </cfRule>
  </conditionalFormatting>
  <conditionalFormatting sqref="AU28">
    <cfRule type="cellIs" dxfId="26" priority="35" operator="equal">
      <formula>1</formula>
    </cfRule>
  </conditionalFormatting>
  <conditionalFormatting sqref="AU34:AU37">
    <cfRule type="cellIs" dxfId="25" priority="40" operator="equal">
      <formula>1</formula>
    </cfRule>
  </conditionalFormatting>
  <conditionalFormatting sqref="AU28:AY37">
    <cfRule type="cellIs" dxfId="24" priority="41" operator="equal">
      <formula>1</formula>
    </cfRule>
  </conditionalFormatting>
  <conditionalFormatting sqref="AV28:AV37">
    <cfRule type="cellIs" dxfId="23" priority="36" operator="equal">
      <formula>1</formula>
    </cfRule>
  </conditionalFormatting>
  <conditionalFormatting sqref="AV29">
    <cfRule type="cellIs" dxfId="22" priority="42" operator="equal">
      <formula>1</formula>
    </cfRule>
  </conditionalFormatting>
  <conditionalFormatting sqref="AW28:AW37">
    <cfRule type="cellIs" dxfId="21" priority="37" operator="equal">
      <formula>1</formula>
    </cfRule>
  </conditionalFormatting>
  <conditionalFormatting sqref="AW29">
    <cfRule type="cellIs" dxfId="20" priority="43" operator="equal">
      <formula>1</formula>
    </cfRule>
  </conditionalFormatting>
  <conditionalFormatting sqref="AX28:AX37">
    <cfRule type="cellIs" dxfId="19" priority="38" operator="equal">
      <formula>1</formula>
    </cfRule>
  </conditionalFormatting>
  <conditionalFormatting sqref="AX29">
    <cfRule type="cellIs" dxfId="18" priority="44" operator="equal">
      <formula>1</formula>
    </cfRule>
  </conditionalFormatting>
  <conditionalFormatting sqref="AY28:AY37">
    <cfRule type="cellIs" dxfId="17" priority="39" operator="equal">
      <formula>1</formula>
    </cfRule>
  </conditionalFormatting>
  <conditionalFormatting sqref="AY29">
    <cfRule type="cellIs" dxfId="16" priority="45" operator="equal">
      <formula>1</formula>
    </cfRule>
  </conditionalFormatting>
  <conditionalFormatting sqref="BD28:BH37">
    <cfRule type="cellIs" dxfId="15" priority="7" operator="equal">
      <formula>1</formula>
    </cfRule>
  </conditionalFormatting>
  <conditionalFormatting sqref="BD28">
    <cfRule type="cellIs" dxfId="14" priority="1" operator="equal">
      <formula>1</formula>
    </cfRule>
  </conditionalFormatting>
  <conditionalFormatting sqref="BD34:BD37">
    <cfRule type="cellIs" dxfId="13" priority="6" operator="equal">
      <formula>1</formula>
    </cfRule>
  </conditionalFormatting>
  <conditionalFormatting sqref="BE28:BE37">
    <cfRule type="cellIs" dxfId="12" priority="2" operator="equal">
      <formula>1</formula>
    </cfRule>
  </conditionalFormatting>
  <conditionalFormatting sqref="BE29">
    <cfRule type="cellIs" dxfId="11" priority="8" operator="equal">
      <formula>1</formula>
    </cfRule>
  </conditionalFormatting>
  <conditionalFormatting sqref="BF28:BF37">
    <cfRule type="cellIs" dxfId="10" priority="3" operator="equal">
      <formula>1</formula>
    </cfRule>
  </conditionalFormatting>
  <conditionalFormatting sqref="BF29">
    <cfRule type="cellIs" dxfId="9" priority="9" operator="equal">
      <formula>1</formula>
    </cfRule>
  </conditionalFormatting>
  <conditionalFormatting sqref="BG28:BG37">
    <cfRule type="cellIs" dxfId="8" priority="4" operator="equal">
      <formula>1</formula>
    </cfRule>
  </conditionalFormatting>
  <conditionalFormatting sqref="BG29">
    <cfRule type="cellIs" dxfId="7" priority="10" operator="equal">
      <formula>1</formula>
    </cfRule>
  </conditionalFormatting>
  <conditionalFormatting sqref="BH28:BH37">
    <cfRule type="cellIs" dxfId="6" priority="5" operator="equal">
      <formula>1</formula>
    </cfRule>
  </conditionalFormatting>
  <conditionalFormatting sqref="BH29">
    <cfRule type="cellIs" dxfId="5" priority="11" operator="equal">
      <formula>1</formula>
    </cfRule>
  </conditionalFormatting>
  <printOptions horizontalCentered="1"/>
  <pageMargins left="0.25" right="0.25" top="0.4" bottom="0.4" header="0.3" footer="0.3"/>
  <pageSetup paperSize="9" scale="2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P_GenerarPDFResumenMoleculasSeleccionadas">
                <anchor moveWithCells="1" sizeWithCells="1">
                  <from>
                    <xdr:col>0</xdr:col>
                    <xdr:colOff>76200</xdr:colOff>
                    <xdr:row>39</xdr:row>
                    <xdr:rowOff>152400</xdr:rowOff>
                  </from>
                  <to>
                    <xdr:col>0</xdr:col>
                    <xdr:colOff>2788920</xdr:colOff>
                    <xdr:row>42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0A167-3832-4A1E-B460-7DDA7453E25A}">
  <sheetPr codeName="Hoja4"/>
  <dimension ref="C7:Q28"/>
  <sheetViews>
    <sheetView zoomScale="80" zoomScaleNormal="80" workbookViewId="0">
      <selection activeCell="I9" sqref="I9"/>
    </sheetView>
  </sheetViews>
  <sheetFormatPr baseColWidth="10" defaultRowHeight="14.4"/>
  <cols>
    <col min="1" max="2" width="11.5546875" style="69"/>
    <col min="3" max="3" width="30.6640625" style="69" customWidth="1"/>
    <col min="4" max="4" width="11.5546875" style="69"/>
    <col min="5" max="5" width="27.77734375" style="69" customWidth="1"/>
    <col min="6" max="6" width="11.5546875" style="69"/>
    <col min="7" max="7" width="19.88671875" style="69" customWidth="1"/>
    <col min="8" max="8" width="11.5546875" style="69"/>
    <col min="9" max="9" width="22.33203125" style="69" customWidth="1"/>
    <col min="10" max="10" width="11.5546875" style="69"/>
    <col min="11" max="11" width="21.44140625" style="69" customWidth="1"/>
    <col min="12" max="12" width="11.5546875" style="69"/>
    <col min="13" max="13" width="22.44140625" style="69" customWidth="1"/>
    <col min="14" max="14" width="19.21875" style="69" hidden="1" customWidth="1"/>
    <col min="15" max="15" width="18.21875" style="69" hidden="1" customWidth="1"/>
    <col min="16" max="16" width="4.77734375" style="69" customWidth="1"/>
    <col min="17" max="17" width="21.77734375" style="69" customWidth="1"/>
    <col min="18" max="16384" width="11.5546875" style="69"/>
  </cols>
  <sheetData>
    <row r="7" spans="3:17" ht="40.799999999999997">
      <c r="C7" s="68" t="s">
        <v>93</v>
      </c>
      <c r="E7" s="70" t="s">
        <v>125</v>
      </c>
      <c r="G7" s="71" t="s">
        <v>127</v>
      </c>
      <c r="I7" s="72" t="s">
        <v>94</v>
      </c>
      <c r="K7" s="71" t="s">
        <v>126</v>
      </c>
      <c r="M7" s="72" t="s">
        <v>95</v>
      </c>
      <c r="O7" s="72" t="s">
        <v>96</v>
      </c>
      <c r="Q7" s="72" t="s">
        <v>96</v>
      </c>
    </row>
    <row r="9" spans="3:17" ht="15.6">
      <c r="C9" s="73" t="s">
        <v>76</v>
      </c>
      <c r="E9" s="73">
        <v>8</v>
      </c>
      <c r="G9" s="74">
        <v>2402568</v>
      </c>
      <c r="I9" s="67">
        <f>E9*G9</f>
        <v>19220544</v>
      </c>
      <c r="K9" s="75">
        <v>1957979</v>
      </c>
      <c r="M9" s="67">
        <f>E9*K9</f>
        <v>15663832</v>
      </c>
      <c r="O9" s="74">
        <f>I9+M9</f>
        <v>34884376</v>
      </c>
      <c r="Q9" s="67">
        <f>O9</f>
        <v>34884376</v>
      </c>
    </row>
    <row r="10" spans="3:17" ht="15.6">
      <c r="C10" s="76"/>
      <c r="M10" s="4"/>
      <c r="Q10" s="4"/>
    </row>
    <row r="11" spans="3:17" ht="15.6">
      <c r="C11" s="73" t="s">
        <v>75</v>
      </c>
      <c r="E11" s="73">
        <v>8</v>
      </c>
      <c r="G11" s="74">
        <v>2402568</v>
      </c>
      <c r="I11" s="67">
        <f>E11*G11</f>
        <v>19220544</v>
      </c>
      <c r="K11" s="75">
        <v>1957979</v>
      </c>
      <c r="M11" s="67">
        <f>E11*K11</f>
        <v>15663832</v>
      </c>
      <c r="O11" s="74">
        <f>I11+M11</f>
        <v>34884376</v>
      </c>
      <c r="Q11" s="67">
        <f>O11</f>
        <v>34884376</v>
      </c>
    </row>
    <row r="12" spans="3:17" ht="15.6">
      <c r="C12" s="76"/>
      <c r="M12" s="4"/>
      <c r="Q12" s="4"/>
    </row>
    <row r="13" spans="3:17" ht="15.6">
      <c r="C13" s="73" t="s">
        <v>74</v>
      </c>
      <c r="E13" s="73">
        <v>7</v>
      </c>
      <c r="G13" s="74">
        <v>1653503</v>
      </c>
      <c r="I13" s="67">
        <f>E13*G13*(1-'Modelo de valor'!O24)</f>
        <v>11574521</v>
      </c>
      <c r="K13" s="75">
        <v>1957979</v>
      </c>
      <c r="M13" s="67">
        <f>E13*K13</f>
        <v>13705853</v>
      </c>
      <c r="O13" s="74">
        <f>I13+M13</f>
        <v>25280374</v>
      </c>
      <c r="Q13" s="67">
        <f>O13</f>
        <v>25280374</v>
      </c>
    </row>
    <row r="14" spans="3:17" ht="15.6">
      <c r="C14" s="76"/>
      <c r="M14" s="4"/>
      <c r="Q14" s="4"/>
    </row>
    <row r="15" spans="3:17" ht="15.6">
      <c r="C15" s="73" t="s">
        <v>73</v>
      </c>
      <c r="E15" s="73">
        <v>7</v>
      </c>
      <c r="G15" s="74">
        <v>1653503</v>
      </c>
      <c r="I15" s="67">
        <f>E15*G15*(1-'Modelo de valor'!O24)</f>
        <v>11574521</v>
      </c>
      <c r="K15" s="75">
        <v>1957979</v>
      </c>
      <c r="M15" s="67">
        <f>E15*K15</f>
        <v>13705853</v>
      </c>
      <c r="O15" s="74">
        <f>I15+M15</f>
        <v>25280374</v>
      </c>
      <c r="Q15" s="67">
        <f>O15</f>
        <v>25280374</v>
      </c>
    </row>
    <row r="16" spans="3:17" ht="15.6">
      <c r="C16" s="76"/>
      <c r="M16" s="4"/>
      <c r="Q16" s="4"/>
    </row>
    <row r="17" spans="3:17" ht="15.6">
      <c r="C17" s="73" t="s">
        <v>86</v>
      </c>
      <c r="E17" s="73">
        <v>6</v>
      </c>
      <c r="G17" s="74">
        <v>1926878</v>
      </c>
      <c r="I17" s="67">
        <f>E17*G17</f>
        <v>11561268</v>
      </c>
      <c r="K17" s="75">
        <v>1957979</v>
      </c>
      <c r="M17" s="67">
        <f>E17*K17</f>
        <v>11747874</v>
      </c>
      <c r="O17" s="74">
        <f>I17+M17</f>
        <v>23309142</v>
      </c>
      <c r="Q17" s="67">
        <f>O17</f>
        <v>23309142</v>
      </c>
    </row>
    <row r="18" spans="3:17" ht="15.6">
      <c r="C18" s="76"/>
      <c r="M18" s="4"/>
      <c r="Q18" s="4"/>
    </row>
    <row r="19" spans="3:17" ht="15.6">
      <c r="C19" s="73" t="s">
        <v>82</v>
      </c>
      <c r="E19" s="73">
        <v>5</v>
      </c>
      <c r="G19" s="74">
        <v>1926878</v>
      </c>
      <c r="I19" s="67">
        <f>E19*G19</f>
        <v>9634390</v>
      </c>
      <c r="K19" s="75">
        <v>1957979</v>
      </c>
      <c r="M19" s="67">
        <f>E19*K19</f>
        <v>9789895</v>
      </c>
      <c r="O19" s="74">
        <f>I19+M19</f>
        <v>19424285</v>
      </c>
      <c r="Q19" s="67">
        <f>O19</f>
        <v>19424285</v>
      </c>
    </row>
    <row r="20" spans="3:17" ht="15.6">
      <c r="C20" s="76"/>
      <c r="M20" s="4"/>
      <c r="Q20" s="4"/>
    </row>
    <row r="21" spans="3:17" ht="15.6">
      <c r="C21" s="73" t="s">
        <v>87</v>
      </c>
      <c r="E21" s="73">
        <v>9</v>
      </c>
      <c r="G21" s="74">
        <v>1926878</v>
      </c>
      <c r="I21" s="67">
        <f>E21*G21</f>
        <v>17341902</v>
      </c>
      <c r="K21" s="75">
        <v>1957979</v>
      </c>
      <c r="M21" s="67">
        <f>E21*K21</f>
        <v>17621811</v>
      </c>
      <c r="O21" s="74">
        <f>I21+M21</f>
        <v>34963713</v>
      </c>
      <c r="Q21" s="67">
        <f>O21</f>
        <v>34963713</v>
      </c>
    </row>
    <row r="22" spans="3:17" ht="15.6">
      <c r="C22" s="77"/>
      <c r="M22" s="4"/>
      <c r="Q22" s="4"/>
    </row>
    <row r="23" spans="3:17" ht="15.6">
      <c r="C23" s="73" t="s">
        <v>159</v>
      </c>
      <c r="E23" s="73">
        <v>9</v>
      </c>
      <c r="G23" s="74">
        <v>1926878</v>
      </c>
      <c r="I23" s="67">
        <f>E23*G23</f>
        <v>17341902</v>
      </c>
      <c r="K23" s="75">
        <v>1957979</v>
      </c>
      <c r="M23" s="67">
        <f>E23*K23</f>
        <v>17621811</v>
      </c>
      <c r="O23" s="74">
        <f>I23+M23</f>
        <v>34963713</v>
      </c>
      <c r="Q23" s="67">
        <f>O23</f>
        <v>34963713</v>
      </c>
    </row>
    <row r="25" spans="3:17" ht="20.399999999999999">
      <c r="C25" s="78" t="s">
        <v>97</v>
      </c>
    </row>
    <row r="26" spans="3:17" ht="20.399999999999999">
      <c r="C26" s="79"/>
      <c r="D26" s="69" t="s">
        <v>128</v>
      </c>
    </row>
    <row r="28" spans="3:17" ht="15.6" customHeight="1">
      <c r="D28" s="77"/>
      <c r="E28" s="77"/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82AAE-4948-4B9B-9D7A-EE1F87AB841E}">
  <sheetPr codeName="Hoja5"/>
  <dimension ref="A1:I11"/>
  <sheetViews>
    <sheetView zoomScale="70" zoomScaleNormal="70" workbookViewId="0">
      <selection activeCell="B2" sqref="B2"/>
    </sheetView>
  </sheetViews>
  <sheetFormatPr baseColWidth="10" defaultRowHeight="14.4"/>
  <cols>
    <col min="1" max="3" width="58.21875" style="4" customWidth="1"/>
    <col min="4" max="4" width="46" style="4" customWidth="1"/>
    <col min="5" max="5" width="32.21875" style="4" customWidth="1"/>
    <col min="6" max="6" width="39.77734375" style="4" customWidth="1"/>
    <col min="7" max="7" width="30.77734375" style="4" customWidth="1"/>
    <col min="8" max="8" width="31.33203125" style="4" customWidth="1"/>
    <col min="9" max="9" width="32.21875" style="4" customWidth="1"/>
    <col min="10" max="10" width="11.5546875" style="4" customWidth="1"/>
    <col min="11" max="16384" width="11.5546875" style="4"/>
  </cols>
  <sheetData>
    <row r="1" spans="1:9" ht="20.399999999999999">
      <c r="A1" s="37" t="s">
        <v>30</v>
      </c>
      <c r="B1" s="37" t="s">
        <v>159</v>
      </c>
      <c r="C1" s="37" t="s">
        <v>87</v>
      </c>
      <c r="D1" s="38" t="s">
        <v>73</v>
      </c>
      <c r="E1" s="37" t="s">
        <v>82</v>
      </c>
      <c r="F1" s="38" t="s">
        <v>74</v>
      </c>
      <c r="G1" s="37" t="s">
        <v>75</v>
      </c>
      <c r="H1" s="37" t="s">
        <v>76</v>
      </c>
      <c r="I1" s="37" t="s">
        <v>86</v>
      </c>
    </row>
    <row r="2" spans="1:9" ht="19.8">
      <c r="A2" s="30" t="s">
        <v>34</v>
      </c>
      <c r="B2" s="31" cm="1">
        <f t="array" ref="B2:B11">'Inputs_EMD '!E126:E135</f>
        <v>4</v>
      </c>
      <c r="C2" s="31" cm="1">
        <f t="array" ref="C2:C11">'Inputs_EMD '!E109:E118</f>
        <v>4</v>
      </c>
      <c r="D2" s="31" cm="1">
        <f t="array" ref="D2:D11">'Inputs_EMD '!E77:E86</f>
        <v>2</v>
      </c>
      <c r="E2" s="31" cm="1">
        <f t="array" ref="E2:E11">'Inputs_EMD '!E93:E102</f>
        <v>2</v>
      </c>
      <c r="F2" s="32">
        <f>'Inputs_EMD '!E61</f>
        <v>2</v>
      </c>
      <c r="G2" s="31" cm="1">
        <f t="array" ref="G2:G11">'Inputs_EMD '!E10:E19</f>
        <v>2</v>
      </c>
      <c r="H2" s="30" cm="1">
        <f t="array" ref="H2:H11">'Inputs_EMD '!E27:E36</f>
        <v>4</v>
      </c>
      <c r="I2" s="31" cm="1">
        <f t="array" ref="I2:I11">'Inputs_EMD '!E46:E55</f>
        <v>2</v>
      </c>
    </row>
    <row r="3" spans="1:9" ht="19.8">
      <c r="A3" s="30" t="s">
        <v>35</v>
      </c>
      <c r="B3" s="31">
        <v>5</v>
      </c>
      <c r="C3" s="31">
        <v>5</v>
      </c>
      <c r="D3" s="31">
        <v>3</v>
      </c>
      <c r="E3" s="31">
        <v>3</v>
      </c>
      <c r="F3" s="32">
        <f>'Inputs_EMD '!E62</f>
        <v>5</v>
      </c>
      <c r="G3" s="31">
        <v>5</v>
      </c>
      <c r="H3" s="30">
        <v>5</v>
      </c>
      <c r="I3" s="31">
        <v>3</v>
      </c>
    </row>
    <row r="4" spans="1:9" ht="19.8">
      <c r="A4" s="30" t="s">
        <v>36</v>
      </c>
      <c r="B4" s="31">
        <v>1</v>
      </c>
      <c r="C4" s="31">
        <v>1</v>
      </c>
      <c r="D4" s="31">
        <v>5</v>
      </c>
      <c r="E4" s="31">
        <v>1</v>
      </c>
      <c r="F4" s="32">
        <f>'Inputs_EMD '!E63</f>
        <v>5</v>
      </c>
      <c r="G4" s="31">
        <v>1</v>
      </c>
      <c r="H4" s="30">
        <v>5</v>
      </c>
      <c r="I4" s="31">
        <v>5</v>
      </c>
    </row>
    <row r="5" spans="1:9" ht="19.8">
      <c r="A5" s="30" t="s">
        <v>38</v>
      </c>
      <c r="B5" s="31">
        <v>5</v>
      </c>
      <c r="C5" s="31">
        <v>1</v>
      </c>
      <c r="D5" s="31">
        <v>5</v>
      </c>
      <c r="E5" s="31">
        <v>1</v>
      </c>
      <c r="F5" s="32">
        <f>'Inputs_EMD '!E64</f>
        <v>1</v>
      </c>
      <c r="G5" s="31">
        <v>1</v>
      </c>
      <c r="H5" s="30">
        <v>1</v>
      </c>
      <c r="I5" s="31">
        <v>1</v>
      </c>
    </row>
    <row r="6" spans="1:9" ht="19.8">
      <c r="A6" s="30" t="s">
        <v>39</v>
      </c>
      <c r="B6" s="31">
        <v>5</v>
      </c>
      <c r="C6" s="31">
        <v>5</v>
      </c>
      <c r="D6" s="31">
        <v>5</v>
      </c>
      <c r="E6" s="31">
        <v>5</v>
      </c>
      <c r="F6" s="32">
        <f>'Inputs_EMD '!E65</f>
        <v>5</v>
      </c>
      <c r="G6" s="31">
        <v>5</v>
      </c>
      <c r="H6" s="30">
        <v>1</v>
      </c>
      <c r="I6" s="31">
        <v>5</v>
      </c>
    </row>
    <row r="7" spans="1:9" ht="19.8">
      <c r="A7" s="30" t="s">
        <v>40</v>
      </c>
      <c r="B7" s="31">
        <v>1</v>
      </c>
      <c r="C7" s="31">
        <v>1</v>
      </c>
      <c r="D7" s="31">
        <v>5</v>
      </c>
      <c r="E7" s="31">
        <v>1</v>
      </c>
      <c r="F7" s="32">
        <f>'Inputs_EMD '!E66</f>
        <v>5</v>
      </c>
      <c r="G7" s="31">
        <v>0</v>
      </c>
      <c r="H7" s="30">
        <v>0</v>
      </c>
      <c r="I7" s="31">
        <v>1</v>
      </c>
    </row>
    <row r="8" spans="1:9" ht="19.8">
      <c r="A8" s="30" t="s">
        <v>41</v>
      </c>
      <c r="B8" s="31">
        <v>5</v>
      </c>
      <c r="C8" s="31">
        <v>0</v>
      </c>
      <c r="D8" s="31">
        <v>5</v>
      </c>
      <c r="E8" s="31">
        <v>5</v>
      </c>
      <c r="F8" s="32">
        <f>'Inputs_EMD '!E67</f>
        <v>5</v>
      </c>
      <c r="G8" s="31">
        <v>5</v>
      </c>
      <c r="H8" s="30">
        <v>5</v>
      </c>
      <c r="I8" s="31">
        <v>5</v>
      </c>
    </row>
    <row r="9" spans="1:9" ht="19.8">
      <c r="A9" s="30" t="s">
        <v>42</v>
      </c>
      <c r="B9" s="31">
        <v>5</v>
      </c>
      <c r="C9" s="31">
        <v>0</v>
      </c>
      <c r="D9" s="31">
        <v>0</v>
      </c>
      <c r="E9" s="31">
        <v>0</v>
      </c>
      <c r="F9" s="32">
        <f>'Inputs_EMD '!E68</f>
        <v>0</v>
      </c>
      <c r="G9" s="31">
        <v>0</v>
      </c>
      <c r="H9" s="30">
        <v>0</v>
      </c>
      <c r="I9" s="31">
        <v>0</v>
      </c>
    </row>
    <row r="10" spans="1:9" ht="19.8">
      <c r="A10" s="30" t="s">
        <v>44</v>
      </c>
      <c r="B10" s="31">
        <v>5</v>
      </c>
      <c r="C10" s="31">
        <v>5</v>
      </c>
      <c r="D10" s="31">
        <v>5</v>
      </c>
      <c r="E10" s="31">
        <v>5</v>
      </c>
      <c r="F10" s="32">
        <f>'Inputs_EMD '!E69</f>
        <v>5</v>
      </c>
      <c r="G10" s="31">
        <v>5</v>
      </c>
      <c r="H10" s="30">
        <v>5</v>
      </c>
      <c r="I10" s="31">
        <v>5</v>
      </c>
    </row>
    <row r="11" spans="1:9" ht="19.8">
      <c r="A11" s="30" t="s">
        <v>45</v>
      </c>
      <c r="B11" s="31">
        <v>5</v>
      </c>
      <c r="C11" s="31">
        <v>5</v>
      </c>
      <c r="D11" s="31">
        <v>5</v>
      </c>
      <c r="E11" s="31">
        <v>5</v>
      </c>
      <c r="F11" s="32">
        <f>'Inputs_EMD '!E70</f>
        <v>5</v>
      </c>
      <c r="G11" s="31">
        <v>5</v>
      </c>
      <c r="H11" s="30">
        <v>5</v>
      </c>
      <c r="I11" s="31">
        <v>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E547C-3297-4A1F-8DAE-4B9CFF4BA77C}">
  <sheetPr codeName="Hoja6"/>
  <dimension ref="A5:D31"/>
  <sheetViews>
    <sheetView workbookViewId="0">
      <selection activeCell="B35" sqref="B35"/>
    </sheetView>
  </sheetViews>
  <sheetFormatPr baseColWidth="10" defaultColWidth="8.88671875" defaultRowHeight="14.4"/>
  <cols>
    <col min="1" max="1" width="27.77734375" style="4" customWidth="1"/>
    <col min="2" max="2" width="53.88671875" style="4" customWidth="1"/>
    <col min="3" max="3" width="28.77734375" style="4" customWidth="1"/>
    <col min="4" max="4" width="19.33203125" style="4" customWidth="1"/>
    <col min="5" max="16384" width="8.88671875" style="4"/>
  </cols>
  <sheetData>
    <row r="5" spans="1:4" ht="19.8">
      <c r="A5" s="23" t="s">
        <v>31</v>
      </c>
      <c r="B5" s="23" t="s">
        <v>30</v>
      </c>
      <c r="C5" s="23" t="s">
        <v>29</v>
      </c>
      <c r="D5" s="23" t="s">
        <v>28</v>
      </c>
    </row>
    <row r="6" spans="1:4" ht="19.8">
      <c r="A6" s="24" t="s">
        <v>21</v>
      </c>
      <c r="B6" s="25" t="s">
        <v>34</v>
      </c>
      <c r="C6" s="25" t="s">
        <v>27</v>
      </c>
      <c r="D6" s="25">
        <v>1</v>
      </c>
    </row>
    <row r="7" spans="1:4" ht="19.8">
      <c r="A7" s="24" t="s">
        <v>21</v>
      </c>
      <c r="B7" s="25" t="s">
        <v>34</v>
      </c>
      <c r="C7" s="25" t="s">
        <v>26</v>
      </c>
      <c r="D7" s="25">
        <v>2</v>
      </c>
    </row>
    <row r="8" spans="1:4" ht="19.8">
      <c r="A8" s="24" t="s">
        <v>21</v>
      </c>
      <c r="B8" s="25" t="s">
        <v>34</v>
      </c>
      <c r="C8" s="25" t="s">
        <v>25</v>
      </c>
      <c r="D8" s="25">
        <v>4</v>
      </c>
    </row>
    <row r="9" spans="1:4" ht="19.8">
      <c r="A9" s="24" t="s">
        <v>21</v>
      </c>
      <c r="B9" s="25" t="s">
        <v>34</v>
      </c>
      <c r="C9" s="25" t="s">
        <v>24</v>
      </c>
      <c r="D9" s="25">
        <v>5</v>
      </c>
    </row>
    <row r="10" spans="1:4" ht="19.8">
      <c r="A10" s="24" t="s">
        <v>21</v>
      </c>
      <c r="B10" s="25" t="s">
        <v>35</v>
      </c>
      <c r="C10" s="25" t="s">
        <v>23</v>
      </c>
      <c r="D10" s="25">
        <v>1</v>
      </c>
    </row>
    <row r="11" spans="1:4" ht="19.8">
      <c r="A11" s="24" t="s">
        <v>21</v>
      </c>
      <c r="B11" s="25" t="s">
        <v>35</v>
      </c>
      <c r="C11" s="25" t="s">
        <v>22</v>
      </c>
      <c r="D11" s="25">
        <v>3</v>
      </c>
    </row>
    <row r="12" spans="1:4" ht="19.8">
      <c r="A12" s="24" t="s">
        <v>21</v>
      </c>
      <c r="B12" s="25" t="s">
        <v>35</v>
      </c>
      <c r="C12" s="25" t="s">
        <v>20</v>
      </c>
      <c r="D12" s="25">
        <v>5</v>
      </c>
    </row>
    <row r="13" spans="1:4" ht="19.8">
      <c r="A13" s="24" t="s">
        <v>18</v>
      </c>
      <c r="B13" s="25" t="s">
        <v>36</v>
      </c>
      <c r="C13" s="25" t="s">
        <v>19</v>
      </c>
      <c r="D13" s="25">
        <v>1</v>
      </c>
    </row>
    <row r="14" spans="1:4" ht="19.8">
      <c r="A14" s="24" t="s">
        <v>18</v>
      </c>
      <c r="B14" s="25" t="s">
        <v>36</v>
      </c>
      <c r="C14" s="25" t="s">
        <v>17</v>
      </c>
      <c r="D14" s="25">
        <v>5</v>
      </c>
    </row>
    <row r="15" spans="1:4" ht="19.8">
      <c r="A15" s="24" t="s">
        <v>18</v>
      </c>
      <c r="B15" s="25" t="s">
        <v>38</v>
      </c>
      <c r="C15" s="25" t="s">
        <v>19</v>
      </c>
      <c r="D15" s="25">
        <v>1</v>
      </c>
    </row>
    <row r="16" spans="1:4" ht="19.8">
      <c r="A16" s="24" t="s">
        <v>18</v>
      </c>
      <c r="B16" s="25" t="s">
        <v>38</v>
      </c>
      <c r="C16" s="25" t="s">
        <v>17</v>
      </c>
      <c r="D16" s="25">
        <v>5</v>
      </c>
    </row>
    <row r="17" spans="1:4" ht="19.8">
      <c r="A17" s="24" t="s">
        <v>18</v>
      </c>
      <c r="B17" s="25" t="s">
        <v>39</v>
      </c>
      <c r="C17" s="25" t="s">
        <v>19</v>
      </c>
      <c r="D17" s="25">
        <v>1</v>
      </c>
    </row>
    <row r="18" spans="1:4" ht="19.8">
      <c r="A18" s="24" t="s">
        <v>18</v>
      </c>
      <c r="B18" s="25" t="s">
        <v>39</v>
      </c>
      <c r="C18" s="25" t="s">
        <v>17</v>
      </c>
      <c r="D18" s="25">
        <v>5</v>
      </c>
    </row>
    <row r="19" spans="1:4" ht="19.8">
      <c r="A19" s="24" t="s">
        <v>16</v>
      </c>
      <c r="B19" s="25" t="s">
        <v>40</v>
      </c>
      <c r="C19" s="25" t="s">
        <v>91</v>
      </c>
      <c r="D19" s="25">
        <v>1</v>
      </c>
    </row>
    <row r="20" spans="1:4" ht="19.8">
      <c r="A20" s="24" t="s">
        <v>16</v>
      </c>
      <c r="B20" s="25" t="s">
        <v>40</v>
      </c>
      <c r="C20" s="25" t="s">
        <v>92</v>
      </c>
      <c r="D20" s="25">
        <v>5</v>
      </c>
    </row>
    <row r="21" spans="1:4" ht="19.8">
      <c r="A21" s="24" t="s">
        <v>13</v>
      </c>
      <c r="B21" s="25" t="s">
        <v>41</v>
      </c>
      <c r="C21" s="25" t="s">
        <v>15</v>
      </c>
      <c r="D21" s="25">
        <v>1</v>
      </c>
    </row>
    <row r="22" spans="1:4" ht="19.8">
      <c r="A22" s="24" t="s">
        <v>13</v>
      </c>
      <c r="B22" s="25" t="s">
        <v>41</v>
      </c>
      <c r="C22" s="25" t="s">
        <v>14</v>
      </c>
      <c r="D22" s="25">
        <v>3</v>
      </c>
    </row>
    <row r="23" spans="1:4" ht="19.8">
      <c r="A23" s="24" t="s">
        <v>13</v>
      </c>
      <c r="B23" s="25" t="s">
        <v>41</v>
      </c>
      <c r="C23" s="25" t="s">
        <v>12</v>
      </c>
      <c r="D23" s="25">
        <v>5</v>
      </c>
    </row>
    <row r="24" spans="1:4" ht="19.8">
      <c r="A24" s="24" t="s">
        <v>13</v>
      </c>
      <c r="B24" s="25" t="s">
        <v>42</v>
      </c>
      <c r="C24" s="25" t="s">
        <v>15</v>
      </c>
      <c r="D24" s="25">
        <v>1</v>
      </c>
    </row>
    <row r="25" spans="1:4" ht="19.8">
      <c r="A25" s="24" t="s">
        <v>13</v>
      </c>
      <c r="B25" s="25" t="s">
        <v>42</v>
      </c>
      <c r="C25" s="25" t="s">
        <v>14</v>
      </c>
      <c r="D25" s="25">
        <v>3</v>
      </c>
    </row>
    <row r="26" spans="1:4" ht="19.8">
      <c r="A26" s="24" t="s">
        <v>13</v>
      </c>
      <c r="B26" s="25" t="s">
        <v>42</v>
      </c>
      <c r="C26" s="25" t="s">
        <v>12</v>
      </c>
      <c r="D26" s="25">
        <v>5</v>
      </c>
    </row>
    <row r="27" spans="1:4" ht="19.8">
      <c r="A27" s="24" t="s">
        <v>8</v>
      </c>
      <c r="B27" s="25" t="s">
        <v>44</v>
      </c>
      <c r="C27" s="25" t="s">
        <v>11</v>
      </c>
      <c r="D27" s="25">
        <v>1</v>
      </c>
    </row>
    <row r="28" spans="1:4" ht="19.8">
      <c r="A28" s="24" t="s">
        <v>8</v>
      </c>
      <c r="B28" s="25" t="s">
        <v>44</v>
      </c>
      <c r="C28" s="25" t="s">
        <v>10</v>
      </c>
      <c r="D28" s="25">
        <v>5</v>
      </c>
    </row>
    <row r="29" spans="1:4" ht="19.8">
      <c r="A29" s="24" t="s">
        <v>8</v>
      </c>
      <c r="B29" s="25" t="s">
        <v>45</v>
      </c>
      <c r="C29" s="25" t="s">
        <v>9</v>
      </c>
      <c r="D29" s="25">
        <v>1</v>
      </c>
    </row>
    <row r="30" spans="1:4" ht="19.8">
      <c r="A30" s="24" t="s">
        <v>8</v>
      </c>
      <c r="B30" s="25" t="s">
        <v>45</v>
      </c>
      <c r="C30" s="25" t="s">
        <v>7</v>
      </c>
      <c r="D30" s="25">
        <v>5</v>
      </c>
    </row>
    <row r="31" spans="1:4">
      <c r="A31" s="26"/>
      <c r="B31" s="26"/>
      <c r="C31" s="26"/>
      <c r="D31" s="26"/>
    </row>
  </sheetData>
  <dataValidations count="1">
    <dataValidation type="list" allowBlank="1" showInputMessage="1" showErrorMessage="1" sqref="C21" xr:uid="{24B8FEFB-F698-4534-A777-B13CCA597933}">
      <formula1>"Emperoamiento, Sin efecto, Mejoría, NR"</formula1>
    </dataValidation>
  </dataValidations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11613-DC61-496D-BDAB-572C84BDEC1E}">
  <sheetPr codeName="Hoja9"/>
  <dimension ref="C4:H135"/>
  <sheetViews>
    <sheetView zoomScale="80" zoomScaleNormal="80" workbookViewId="0">
      <selection activeCell="D10" sqref="D10:D17"/>
    </sheetView>
  </sheetViews>
  <sheetFormatPr baseColWidth="10" defaultRowHeight="14.4"/>
  <cols>
    <col min="1" max="2" width="11.5546875" style="4"/>
    <col min="3" max="3" width="51.33203125" style="4" customWidth="1"/>
    <col min="4" max="5" width="20.33203125" style="4" customWidth="1"/>
    <col min="6" max="6" width="24.33203125" style="4" customWidth="1"/>
    <col min="7" max="7" width="58.44140625" style="4" customWidth="1"/>
    <col min="8" max="8" width="44.5546875" style="4" customWidth="1"/>
    <col min="9" max="16384" width="11.5546875" style="4"/>
  </cols>
  <sheetData>
    <row r="4" spans="3:8">
      <c r="C4" s="27"/>
    </row>
    <row r="7" spans="3:8" ht="20.399999999999999">
      <c r="C7" s="6" t="s">
        <v>75</v>
      </c>
    </row>
    <row r="9" spans="3:8" ht="19.8">
      <c r="C9" s="23" t="s">
        <v>50</v>
      </c>
      <c r="D9" s="23" t="s">
        <v>47</v>
      </c>
      <c r="E9" s="23" t="s">
        <v>32</v>
      </c>
      <c r="F9" s="23" t="s">
        <v>46</v>
      </c>
      <c r="G9" s="23" t="s">
        <v>48</v>
      </c>
      <c r="H9" s="23" t="s">
        <v>53</v>
      </c>
    </row>
    <row r="10" spans="3:8" ht="39.6">
      <c r="C10" s="30" t="s">
        <v>34</v>
      </c>
      <c r="D10" s="31">
        <v>9.9</v>
      </c>
      <c r="E10" s="31">
        <f>IF(D10="",0,IF(D10&lt;=5,1,IF(D10&lt;=10,2,IF(D10&lt;=15,4,5))))</f>
        <v>2</v>
      </c>
      <c r="F10" s="31" t="s">
        <v>62</v>
      </c>
      <c r="G10" s="32" t="s">
        <v>77</v>
      </c>
      <c r="H10" s="31"/>
    </row>
    <row r="11" spans="3:8" ht="19.8">
      <c r="C11" s="33" t="s">
        <v>35</v>
      </c>
      <c r="D11" s="34">
        <v>31.2</v>
      </c>
      <c r="E11" s="34">
        <f>IF(D11="",0,IF(D11&lt;=15,1,IF(D11&lt;=30,3,5)))</f>
        <v>5</v>
      </c>
      <c r="F11" s="34" t="s">
        <v>62</v>
      </c>
      <c r="G11" s="35" t="s">
        <v>77</v>
      </c>
      <c r="H11" s="34"/>
    </row>
    <row r="12" spans="3:8" ht="19.8">
      <c r="C12" s="33" t="s">
        <v>36</v>
      </c>
      <c r="D12" s="34" t="s">
        <v>19</v>
      </c>
      <c r="E12" s="34">
        <f t="shared" ref="E12:E13" si="0">IF(D12="Ocurrencia",1,IF(D12="No ocurrencia",5,""))</f>
        <v>1</v>
      </c>
      <c r="F12" s="34" t="s">
        <v>62</v>
      </c>
      <c r="G12" s="35" t="s">
        <v>77</v>
      </c>
      <c r="H12" s="34" t="s">
        <v>81</v>
      </c>
    </row>
    <row r="13" spans="3:8" ht="19.8">
      <c r="C13" s="33" t="s">
        <v>38</v>
      </c>
      <c r="D13" s="34" t="s">
        <v>19</v>
      </c>
      <c r="E13" s="34">
        <f t="shared" si="0"/>
        <v>1</v>
      </c>
      <c r="F13" s="34" t="s">
        <v>62</v>
      </c>
      <c r="G13" s="35" t="s">
        <v>77</v>
      </c>
      <c r="H13" s="34" t="s">
        <v>78</v>
      </c>
    </row>
    <row r="14" spans="3:8" ht="19.8">
      <c r="C14" s="33" t="s">
        <v>39</v>
      </c>
      <c r="D14" s="34" t="s">
        <v>17</v>
      </c>
      <c r="E14" s="34">
        <f>IF(D14="Ocurrencia",1,IF(D14="No ocurrencia",5,""))</f>
        <v>5</v>
      </c>
      <c r="F14" s="34" t="s">
        <v>62</v>
      </c>
      <c r="G14" s="35" t="s">
        <v>77</v>
      </c>
      <c r="H14" s="34"/>
    </row>
    <row r="15" spans="3:8" ht="54.6" customHeight="1">
      <c r="C15" s="33" t="s">
        <v>40</v>
      </c>
      <c r="D15" s="34" t="s">
        <v>49</v>
      </c>
      <c r="E15" s="34">
        <f>IF(D15="Prolongada",1,IF(D15="No prolongada",5,IF(D15="NR",0,"")))</f>
        <v>0</v>
      </c>
      <c r="F15" s="34"/>
      <c r="G15" s="35"/>
      <c r="H15" s="34"/>
    </row>
    <row r="16" spans="3:8" ht="19.8">
      <c r="C16" s="33" t="s">
        <v>41</v>
      </c>
      <c r="D16" s="34" t="s">
        <v>12</v>
      </c>
      <c r="E16" s="34">
        <f>IF(D16="Empeoramiento",1,IF(D16="Sin efecto",3,IF(D16="Mejoría",5,IF(D16="NR",0,""))))</f>
        <v>5</v>
      </c>
      <c r="F16" s="34" t="s">
        <v>62</v>
      </c>
      <c r="G16" s="35" t="s">
        <v>77</v>
      </c>
      <c r="H16" s="34"/>
    </row>
    <row r="17" spans="3:8" ht="19.8">
      <c r="C17" s="33" t="s">
        <v>42</v>
      </c>
      <c r="D17" s="34" t="s">
        <v>49</v>
      </c>
      <c r="E17" s="34">
        <f>IF(D17="Empeoramiento",1,IF(D17="Sin efecto",3,IF(D17="Mejoría",5,IF(D17="NR",0,""))))</f>
        <v>0</v>
      </c>
      <c r="F17" s="34"/>
      <c r="G17" s="35"/>
      <c r="H17" s="34"/>
    </row>
    <row r="18" spans="3:8" ht="19.8">
      <c r="C18" s="33" t="s">
        <v>44</v>
      </c>
      <c r="D18" s="34" t="s">
        <v>54</v>
      </c>
      <c r="E18" s="34">
        <f>IF(D18="Off-label",1,IF(D18="On-label",5,""))</f>
        <v>5</v>
      </c>
      <c r="F18" s="34"/>
      <c r="G18" s="35" t="s">
        <v>99</v>
      </c>
      <c r="H18" s="34"/>
    </row>
    <row r="19" spans="3:8" ht="31.2">
      <c r="C19" s="33" t="s">
        <v>45</v>
      </c>
      <c r="D19" s="34" t="s">
        <v>7</v>
      </c>
      <c r="E19" s="34">
        <f>IF(D19="No incluido",1,IF(D19="Incluido",5,""))</f>
        <v>5</v>
      </c>
      <c r="F19" s="34"/>
      <c r="G19" s="35" t="s">
        <v>103</v>
      </c>
      <c r="H19" s="34"/>
    </row>
    <row r="22" spans="3:8" ht="20.399999999999999">
      <c r="C22" s="6" t="s">
        <v>76</v>
      </c>
    </row>
    <row r="26" spans="3:8" ht="19.8">
      <c r="C26" s="23" t="s">
        <v>50</v>
      </c>
      <c r="D26" s="23" t="s">
        <v>47</v>
      </c>
      <c r="E26" s="23" t="s">
        <v>32</v>
      </c>
      <c r="F26" s="23" t="s">
        <v>46</v>
      </c>
      <c r="G26" s="23" t="s">
        <v>48</v>
      </c>
      <c r="H26" s="23" t="s">
        <v>53</v>
      </c>
    </row>
    <row r="27" spans="3:8" ht="39.6">
      <c r="C27" s="30" t="s">
        <v>34</v>
      </c>
      <c r="D27" s="31">
        <v>11</v>
      </c>
      <c r="E27" s="31">
        <f>IF(D27="",0,IF(D27&lt;=5,1,IF(D27&lt;=10,2,IF(D27&lt;=15,4,5))))</f>
        <v>4</v>
      </c>
      <c r="F27" s="31" t="s">
        <v>62</v>
      </c>
      <c r="G27" s="32" t="s">
        <v>77</v>
      </c>
      <c r="H27" s="31"/>
    </row>
    <row r="28" spans="3:8" ht="19.8">
      <c r="C28" s="33" t="s">
        <v>35</v>
      </c>
      <c r="D28" s="34">
        <v>37.200000000000003</v>
      </c>
      <c r="E28" s="34">
        <f>IF(D28="",0,IF(D28&lt;=15,1,IF(D28&lt;=30,3,5)))</f>
        <v>5</v>
      </c>
      <c r="F28" s="34" t="s">
        <v>62</v>
      </c>
      <c r="G28" s="35" t="s">
        <v>77</v>
      </c>
      <c r="H28" s="34"/>
    </row>
    <row r="29" spans="3:8" ht="19.8">
      <c r="C29" s="33" t="s">
        <v>36</v>
      </c>
      <c r="D29" s="34" t="s">
        <v>17</v>
      </c>
      <c r="E29" s="34">
        <f t="shared" ref="E29:E30" si="1">IF(D29="Ocurrencia",1,IF(D29="No ocurrencia",5,""))</f>
        <v>5</v>
      </c>
      <c r="F29" s="34" t="s">
        <v>62</v>
      </c>
      <c r="G29" s="35" t="s">
        <v>77</v>
      </c>
      <c r="H29" s="34"/>
    </row>
    <row r="30" spans="3:8" ht="19.8">
      <c r="C30" s="33" t="s">
        <v>38</v>
      </c>
      <c r="D30" s="34" t="s">
        <v>19</v>
      </c>
      <c r="E30" s="34">
        <f t="shared" si="1"/>
        <v>1</v>
      </c>
      <c r="F30" s="34" t="s">
        <v>62</v>
      </c>
      <c r="G30" s="35" t="s">
        <v>77</v>
      </c>
      <c r="H30" s="34" t="s">
        <v>79</v>
      </c>
    </row>
    <row r="31" spans="3:8" ht="19.8">
      <c r="C31" s="33" t="s">
        <v>39</v>
      </c>
      <c r="D31" s="34" t="s">
        <v>19</v>
      </c>
      <c r="E31" s="34">
        <f>IF(D31="Ocurrencia",1,IF(D31="No ocurrencia",5,""))</f>
        <v>1</v>
      </c>
      <c r="F31" s="34" t="s">
        <v>62</v>
      </c>
      <c r="G31" s="35" t="s">
        <v>77</v>
      </c>
      <c r="H31" s="34" t="s">
        <v>80</v>
      </c>
    </row>
    <row r="32" spans="3:8" ht="19.8">
      <c r="C32" s="33" t="s">
        <v>40</v>
      </c>
      <c r="D32" s="34" t="s">
        <v>49</v>
      </c>
      <c r="E32" s="34">
        <f>IF(D32="Prolongada",1,IF(D32="No prolongada",5,IF(D32="NR",0,"")))</f>
        <v>0</v>
      </c>
      <c r="F32" s="34"/>
      <c r="G32" s="35"/>
      <c r="H32" s="34"/>
    </row>
    <row r="33" spans="3:8" ht="24" customHeight="1">
      <c r="C33" s="33" t="s">
        <v>41</v>
      </c>
      <c r="D33" s="34" t="s">
        <v>12</v>
      </c>
      <c r="E33" s="34">
        <f>IF(D33="Empeoramiento",1,IF(D33="Sin efecto",3,IF(D33="Mejoría",5,IF(D33="NR",0,""))))</f>
        <v>5</v>
      </c>
      <c r="F33" s="34" t="s">
        <v>62</v>
      </c>
      <c r="G33" s="35" t="s">
        <v>77</v>
      </c>
      <c r="H33" s="34"/>
    </row>
    <row r="34" spans="3:8" ht="25.2" customHeight="1">
      <c r="C34" s="33" t="s">
        <v>42</v>
      </c>
      <c r="D34" s="34" t="s">
        <v>49</v>
      </c>
      <c r="E34" s="34">
        <f>IF(D34="Empeoramiento",1,IF(D34="Sin efecto",3,IF(D34="Mejoría",5,IF(D34="NR",0,""))))</f>
        <v>0</v>
      </c>
      <c r="F34" s="34"/>
      <c r="G34" s="35"/>
      <c r="H34" s="34"/>
    </row>
    <row r="35" spans="3:8" ht="33" customHeight="1">
      <c r="C35" s="33" t="s">
        <v>44</v>
      </c>
      <c r="D35" s="34" t="s">
        <v>54</v>
      </c>
      <c r="E35" s="34">
        <f>IF(D35="Off-label",1,IF(D35="On-label",5,""))</f>
        <v>5</v>
      </c>
      <c r="F35" s="34"/>
      <c r="G35" s="35" t="s">
        <v>99</v>
      </c>
      <c r="H35" s="34"/>
    </row>
    <row r="36" spans="3:8" ht="71.400000000000006" customHeight="1">
      <c r="C36" s="33" t="s">
        <v>45</v>
      </c>
      <c r="D36" s="34" t="s">
        <v>7</v>
      </c>
      <c r="E36" s="34">
        <f>IF(D36="No incluido",1,IF(D36="Incluido",5,""))</f>
        <v>5</v>
      </c>
      <c r="F36" s="34"/>
      <c r="G36" s="35" t="s">
        <v>103</v>
      </c>
      <c r="H36" s="34"/>
    </row>
    <row r="41" spans="3:8" ht="20.399999999999999">
      <c r="C41" s="6" t="s">
        <v>86</v>
      </c>
    </row>
    <row r="43" spans="3:8">
      <c r="C43" s="28"/>
    </row>
    <row r="45" spans="3:8" ht="19.8">
      <c r="C45" s="23" t="s">
        <v>50</v>
      </c>
      <c r="D45" s="23" t="s">
        <v>47</v>
      </c>
      <c r="E45" s="23" t="s">
        <v>32</v>
      </c>
      <c r="F45" s="23" t="s">
        <v>46</v>
      </c>
      <c r="G45" s="23" t="s">
        <v>48</v>
      </c>
      <c r="H45" s="23" t="s">
        <v>53</v>
      </c>
    </row>
    <row r="46" spans="3:8" ht="39.6">
      <c r="C46" s="30" t="s">
        <v>34</v>
      </c>
      <c r="D46" s="31">
        <v>8.8000000000000007</v>
      </c>
      <c r="E46" s="31">
        <f>IF(D46="",0,IF(D46&lt;=5,1,IF(D46&lt;=10,2,IF(D46&lt;=15,4,5))))</f>
        <v>2</v>
      </c>
      <c r="F46" s="31" t="s">
        <v>51</v>
      </c>
      <c r="G46" s="32" t="s">
        <v>100</v>
      </c>
      <c r="H46" s="31"/>
    </row>
    <row r="47" spans="3:8" ht="19.8">
      <c r="C47" s="33" t="s">
        <v>35</v>
      </c>
      <c r="D47" s="34">
        <v>18.7</v>
      </c>
      <c r="E47" s="34">
        <f>IF(D47="",0,IF(D47&lt;=15,1,IF(D47&lt;=30,3,5)))</f>
        <v>3</v>
      </c>
      <c r="F47" s="34" t="s">
        <v>51</v>
      </c>
      <c r="G47" s="32" t="s">
        <v>100</v>
      </c>
      <c r="H47" s="34"/>
    </row>
    <row r="48" spans="3:8" ht="19.8">
      <c r="C48" s="33" t="s">
        <v>36</v>
      </c>
      <c r="D48" s="34" t="s">
        <v>17</v>
      </c>
      <c r="E48" s="34">
        <f t="shared" ref="E48:E49" si="2">IF(D48="Ocurrencia",1,IF(D48="No ocurrencia",5,""))</f>
        <v>5</v>
      </c>
      <c r="F48" s="34" t="s">
        <v>51</v>
      </c>
      <c r="G48" s="32" t="s">
        <v>100</v>
      </c>
      <c r="H48" s="34"/>
    </row>
    <row r="49" spans="3:8" ht="19.8">
      <c r="C49" s="33" t="s">
        <v>38</v>
      </c>
      <c r="D49" s="34" t="s">
        <v>19</v>
      </c>
      <c r="E49" s="34">
        <f t="shared" si="2"/>
        <v>1</v>
      </c>
      <c r="F49" s="34" t="s">
        <v>51</v>
      </c>
      <c r="G49" s="32" t="s">
        <v>100</v>
      </c>
      <c r="H49" s="34" t="s">
        <v>83</v>
      </c>
    </row>
    <row r="50" spans="3:8" ht="19.8">
      <c r="C50" s="33" t="s">
        <v>39</v>
      </c>
      <c r="D50" s="34" t="s">
        <v>17</v>
      </c>
      <c r="E50" s="34">
        <f>IF(D50="Ocurrencia",1,IF(D50="No ocurrencia",5,""))</f>
        <v>5</v>
      </c>
      <c r="F50" s="34" t="s">
        <v>51</v>
      </c>
      <c r="G50" s="32" t="s">
        <v>100</v>
      </c>
      <c r="H50" s="34"/>
    </row>
    <row r="51" spans="3:8" ht="111" customHeight="1">
      <c r="C51" s="33" t="s">
        <v>40</v>
      </c>
      <c r="D51" s="34" t="s">
        <v>52</v>
      </c>
      <c r="E51" s="34">
        <f>IF(D51="Prolongada",1,IF(D51="No prolongada",5,IF(D51="NR",0,"")))</f>
        <v>1</v>
      </c>
      <c r="F51" s="34"/>
      <c r="G51" s="35" t="s">
        <v>55</v>
      </c>
      <c r="H51" s="34"/>
    </row>
    <row r="52" spans="3:8" ht="19.8">
      <c r="C52" s="33" t="s">
        <v>41</v>
      </c>
      <c r="D52" s="34" t="s">
        <v>12</v>
      </c>
      <c r="E52" s="34">
        <f>IF(D52="Empeoramiento",1,IF(D52="Sin efecto",3,IF(D52="Mejoría",5,IF(D52="NR",0,""))))</f>
        <v>5</v>
      </c>
      <c r="F52" s="34" t="s">
        <v>51</v>
      </c>
      <c r="G52" s="32" t="s">
        <v>100</v>
      </c>
      <c r="H52" s="34"/>
    </row>
    <row r="53" spans="3:8" ht="19.8">
      <c r="C53" s="33" t="s">
        <v>42</v>
      </c>
      <c r="D53" s="34" t="s">
        <v>49</v>
      </c>
      <c r="E53" s="34">
        <f>IF(D53="Empeoramiento",1,IF(D53="Sin efecto",3,IF(D53="Mejoría",5,IF(D53="NR",0,""))))</f>
        <v>0</v>
      </c>
      <c r="F53" s="34"/>
      <c r="G53" s="35"/>
      <c r="H53" s="34"/>
    </row>
    <row r="54" spans="3:8" ht="19.8">
      <c r="C54" s="33" t="s">
        <v>44</v>
      </c>
      <c r="D54" s="34" t="s">
        <v>54</v>
      </c>
      <c r="E54" s="34">
        <f>IF(D54="Off-label",1,IF(D54="On-label",5,""))</f>
        <v>5</v>
      </c>
      <c r="F54" s="34"/>
      <c r="G54" s="35" t="s">
        <v>101</v>
      </c>
      <c r="H54" s="34"/>
    </row>
    <row r="55" spans="3:8" ht="31.2">
      <c r="C55" s="33" t="s">
        <v>45</v>
      </c>
      <c r="D55" s="34" t="s">
        <v>7</v>
      </c>
      <c r="E55" s="34">
        <f>IF(D55="No incluido",1,IF(D55="Incluido",5,""))</f>
        <v>5</v>
      </c>
      <c r="F55" s="34"/>
      <c r="G55" s="35" t="s">
        <v>103</v>
      </c>
      <c r="H55" s="34"/>
    </row>
    <row r="57" spans="3:8" ht="20.399999999999999">
      <c r="C57" s="6" t="s">
        <v>74</v>
      </c>
    </row>
    <row r="60" spans="3:8" ht="19.8">
      <c r="C60" s="23" t="s">
        <v>50</v>
      </c>
      <c r="D60" s="23" t="s">
        <v>47</v>
      </c>
      <c r="E60" s="23" t="s">
        <v>32</v>
      </c>
      <c r="F60" s="23" t="s">
        <v>46</v>
      </c>
      <c r="G60" s="23" t="s">
        <v>48</v>
      </c>
      <c r="H60" s="23" t="s">
        <v>53</v>
      </c>
    </row>
    <row r="61" spans="3:8" ht="39.6">
      <c r="C61" s="30" t="s">
        <v>34</v>
      </c>
      <c r="D61" s="31">
        <v>6.5</v>
      </c>
      <c r="E61" s="31">
        <f>IF(D61="",0,IF(D61&lt;=5,1,IF(D61&lt;=10,2,IF(D61&lt;=15,4,5))))</f>
        <v>2</v>
      </c>
      <c r="F61" s="31" t="s">
        <v>70</v>
      </c>
      <c r="G61" s="32" t="s">
        <v>71</v>
      </c>
      <c r="H61" s="31"/>
    </row>
    <row r="62" spans="3:8" ht="19.8">
      <c r="C62" s="33" t="s">
        <v>35</v>
      </c>
      <c r="D62" s="34">
        <v>30.4</v>
      </c>
      <c r="E62" s="34">
        <f>IF(D62="",0,IF(D62&lt;=15,1,IF(D62&lt;=30,3,5)))</f>
        <v>5</v>
      </c>
      <c r="F62" s="34" t="s">
        <v>70</v>
      </c>
      <c r="G62" s="35" t="s">
        <v>71</v>
      </c>
      <c r="H62" s="34"/>
    </row>
    <row r="63" spans="3:8" ht="19.8">
      <c r="C63" s="33" t="s">
        <v>36</v>
      </c>
      <c r="D63" s="34" t="s">
        <v>17</v>
      </c>
      <c r="E63" s="34">
        <f t="shared" ref="E63:E64" si="3">IF(D63="Ocurrencia",1,IF(D63="No ocurrencia",5,""))</f>
        <v>5</v>
      </c>
      <c r="F63" s="34" t="s">
        <v>70</v>
      </c>
      <c r="G63" s="35" t="s">
        <v>71</v>
      </c>
      <c r="H63" s="34"/>
    </row>
    <row r="64" spans="3:8" ht="19.8">
      <c r="C64" s="33" t="s">
        <v>38</v>
      </c>
      <c r="D64" s="34" t="s">
        <v>19</v>
      </c>
      <c r="E64" s="34">
        <f t="shared" si="3"/>
        <v>1</v>
      </c>
      <c r="F64" s="34" t="s">
        <v>70</v>
      </c>
      <c r="G64" s="35" t="s">
        <v>71</v>
      </c>
      <c r="H64" s="34" t="s">
        <v>72</v>
      </c>
    </row>
    <row r="65" spans="3:8" ht="19.8">
      <c r="C65" s="33" t="s">
        <v>39</v>
      </c>
      <c r="D65" s="34" t="s">
        <v>17</v>
      </c>
      <c r="E65" s="34">
        <f>IF(D65="Ocurrencia",1,IF(D65="No ocurrencia",5,""))</f>
        <v>5</v>
      </c>
      <c r="F65" s="34" t="s">
        <v>70</v>
      </c>
      <c r="G65" s="35" t="s">
        <v>71</v>
      </c>
      <c r="H65" s="34"/>
    </row>
    <row r="66" spans="3:8" ht="156">
      <c r="C66" s="33" t="s">
        <v>40</v>
      </c>
      <c r="D66" s="34" t="s">
        <v>59</v>
      </c>
      <c r="E66" s="34">
        <f>IF(D66="Prolongada",1,IF(D66="No prolongada",5,IF(D66="NR",0,"")))</f>
        <v>5</v>
      </c>
      <c r="F66" s="34"/>
      <c r="G66" s="35" t="s">
        <v>55</v>
      </c>
      <c r="H66" s="34"/>
    </row>
    <row r="67" spans="3:8" ht="19.8">
      <c r="C67" s="33" t="s">
        <v>41</v>
      </c>
      <c r="D67" s="34" t="s">
        <v>12</v>
      </c>
      <c r="E67" s="34">
        <f>IF(D67="Empeoramiento",1,IF(D67="Sin efecto",3,IF(D67="Mejoría",5,IF(D67="NR",0,""))))</f>
        <v>5</v>
      </c>
      <c r="F67" s="34" t="s">
        <v>70</v>
      </c>
      <c r="G67" s="35" t="s">
        <v>71</v>
      </c>
      <c r="H67" s="34"/>
    </row>
    <row r="68" spans="3:8" ht="19.8">
      <c r="C68" s="33" t="s">
        <v>42</v>
      </c>
      <c r="D68" s="34" t="s">
        <v>49</v>
      </c>
      <c r="E68" s="34">
        <f>IF(D68="Empeoramiento",1,IF(D68="Sin efecto",3,IF(D68="Mejoría",5,IF(D68="NR",0,""))))</f>
        <v>0</v>
      </c>
      <c r="F68" s="34"/>
      <c r="G68" s="35"/>
      <c r="H68" s="34"/>
    </row>
    <row r="69" spans="3:8" ht="19.8">
      <c r="C69" s="33" t="s">
        <v>44</v>
      </c>
      <c r="D69" s="34" t="s">
        <v>54</v>
      </c>
      <c r="E69" s="34">
        <f>IF(D69="Off-label",1,IF(D69="On-label",5,""))</f>
        <v>5</v>
      </c>
      <c r="F69" s="34"/>
      <c r="G69" s="35" t="s">
        <v>60</v>
      </c>
      <c r="H69" s="34"/>
    </row>
    <row r="70" spans="3:8" ht="31.2">
      <c r="C70" s="33" t="s">
        <v>45</v>
      </c>
      <c r="D70" s="34" t="s">
        <v>7</v>
      </c>
      <c r="E70" s="34">
        <f>IF(D70="No incluido",1,IF(D70="Incluido",5,""))</f>
        <v>5</v>
      </c>
      <c r="F70" s="34"/>
      <c r="G70" s="35" t="s">
        <v>103</v>
      </c>
      <c r="H70" s="34"/>
    </row>
    <row r="73" spans="3:8" ht="20.399999999999999">
      <c r="C73" s="6" t="s">
        <v>73</v>
      </c>
    </row>
    <row r="74" spans="3:8">
      <c r="C74" s="29"/>
    </row>
    <row r="76" spans="3:8" ht="19.8">
      <c r="C76" s="23" t="s">
        <v>50</v>
      </c>
      <c r="D76" s="23" t="s">
        <v>47</v>
      </c>
      <c r="E76" s="23" t="s">
        <v>32</v>
      </c>
      <c r="F76" s="23" t="s">
        <v>46</v>
      </c>
      <c r="G76" s="23" t="s">
        <v>48</v>
      </c>
      <c r="H76" s="23" t="s">
        <v>53</v>
      </c>
    </row>
    <row r="77" spans="3:8" ht="39.6">
      <c r="C77" s="30" t="s">
        <v>34</v>
      </c>
      <c r="D77" s="31">
        <v>8</v>
      </c>
      <c r="E77" s="31">
        <f>IF(D77="",0,IF(D77&lt;=5,1,IF(D77&lt;=10,2,IF(D77&lt;=15,4,5))))</f>
        <v>2</v>
      </c>
      <c r="F77" s="31" t="s">
        <v>70</v>
      </c>
      <c r="G77" s="32" t="s">
        <v>71</v>
      </c>
      <c r="H77" s="31"/>
    </row>
    <row r="78" spans="3:8" ht="19.8">
      <c r="C78" s="33" t="s">
        <v>35</v>
      </c>
      <c r="D78" s="34">
        <v>26.5</v>
      </c>
      <c r="E78" s="34">
        <f>IF(D78="",0,IF(D78&lt;=15,1,IF(D78&lt;=30,3,5)))</f>
        <v>3</v>
      </c>
      <c r="F78" s="34" t="s">
        <v>70</v>
      </c>
      <c r="G78" s="35" t="s">
        <v>71</v>
      </c>
      <c r="H78" s="34"/>
    </row>
    <row r="79" spans="3:8" ht="19.8">
      <c r="C79" s="33" t="s">
        <v>36</v>
      </c>
      <c r="D79" s="34" t="s">
        <v>17</v>
      </c>
      <c r="E79" s="34">
        <f t="shared" ref="E79:E80" si="4">IF(D79="Ocurrencia",1,IF(D79="No ocurrencia",5,""))</f>
        <v>5</v>
      </c>
      <c r="F79" s="34" t="s">
        <v>70</v>
      </c>
      <c r="G79" s="35" t="s">
        <v>71</v>
      </c>
      <c r="H79" s="34"/>
    </row>
    <row r="80" spans="3:8" ht="19.8">
      <c r="C80" s="33" t="s">
        <v>38</v>
      </c>
      <c r="D80" s="34" t="s">
        <v>17</v>
      </c>
      <c r="E80" s="34">
        <f t="shared" si="4"/>
        <v>5</v>
      </c>
      <c r="F80" s="34" t="s">
        <v>70</v>
      </c>
      <c r="G80" s="35" t="s">
        <v>71</v>
      </c>
      <c r="H80" s="34"/>
    </row>
    <row r="81" spans="3:8" ht="19.8">
      <c r="C81" s="33" t="s">
        <v>39</v>
      </c>
      <c r="D81" s="34" t="s">
        <v>17</v>
      </c>
      <c r="E81" s="34">
        <f>IF(D81="Ocurrencia",1,IF(D81="No ocurrencia",5,""))</f>
        <v>5</v>
      </c>
      <c r="F81" s="34" t="s">
        <v>70</v>
      </c>
      <c r="G81" s="35" t="s">
        <v>71</v>
      </c>
      <c r="H81" s="34"/>
    </row>
    <row r="82" spans="3:8" ht="156">
      <c r="C82" s="33" t="s">
        <v>40</v>
      </c>
      <c r="D82" s="34" t="s">
        <v>59</v>
      </c>
      <c r="E82" s="34">
        <f>IF(D82="Prolongada",1,IF(D82="No prolongada",5,IF(D82="NR",0,"")))</f>
        <v>5</v>
      </c>
      <c r="F82" s="34"/>
      <c r="G82" s="35" t="s">
        <v>55</v>
      </c>
      <c r="H82" s="34"/>
    </row>
    <row r="83" spans="3:8" ht="19.8">
      <c r="C83" s="33" t="s">
        <v>41</v>
      </c>
      <c r="D83" s="34" t="s">
        <v>12</v>
      </c>
      <c r="E83" s="34">
        <f>IF(D83="Empeoramiento",1,IF(D83="Sin efecto",3,IF(D83="Mejoría",5,IF(D83="NR",0,""))))</f>
        <v>5</v>
      </c>
      <c r="F83" s="34" t="s">
        <v>70</v>
      </c>
      <c r="G83" s="35" t="s">
        <v>71</v>
      </c>
      <c r="H83" s="34"/>
    </row>
    <row r="84" spans="3:8" ht="19.8">
      <c r="C84" s="33" t="s">
        <v>42</v>
      </c>
      <c r="D84" s="34" t="s">
        <v>49</v>
      </c>
      <c r="E84" s="34">
        <f>IF(D84="Empeoramiento",1,IF(D84="Sin efecto",3,IF(D84="Mejoría",5,IF(D84="NR",0,""))))</f>
        <v>0</v>
      </c>
      <c r="F84" s="34"/>
      <c r="G84" s="35"/>
      <c r="H84" s="34"/>
    </row>
    <row r="85" spans="3:8" ht="19.8">
      <c r="C85" s="33" t="s">
        <v>44</v>
      </c>
      <c r="D85" s="34" t="s">
        <v>54</v>
      </c>
      <c r="E85" s="34">
        <f>IF(D85="Off-label",1,IF(D85="On-label",5,""))</f>
        <v>5</v>
      </c>
      <c r="F85" s="34"/>
      <c r="G85" s="35" t="s">
        <v>60</v>
      </c>
      <c r="H85" s="34"/>
    </row>
    <row r="86" spans="3:8" ht="31.2">
      <c r="C86" s="33" t="s">
        <v>45</v>
      </c>
      <c r="D86" s="34" t="s">
        <v>7</v>
      </c>
      <c r="E86" s="34">
        <f>IF(D86="No incluido",1,IF(D86="Incluido",5,""))</f>
        <v>5</v>
      </c>
      <c r="F86" s="34"/>
      <c r="G86" s="35" t="s">
        <v>103</v>
      </c>
      <c r="H86" s="34"/>
    </row>
    <row r="89" spans="3:8">
      <c r="C89" s="28"/>
    </row>
    <row r="90" spans="3:8" ht="20.399999999999999">
      <c r="C90" s="6" t="s">
        <v>82</v>
      </c>
    </row>
    <row r="92" spans="3:8" ht="19.8">
      <c r="C92" s="23" t="s">
        <v>50</v>
      </c>
      <c r="D92" s="23" t="s">
        <v>47</v>
      </c>
      <c r="E92" s="23" t="s">
        <v>32</v>
      </c>
      <c r="F92" s="23" t="s">
        <v>46</v>
      </c>
      <c r="G92" s="23" t="s">
        <v>48</v>
      </c>
      <c r="H92" s="23" t="s">
        <v>53</v>
      </c>
    </row>
    <row r="93" spans="3:8" ht="39.6">
      <c r="C93" s="30" t="s">
        <v>34</v>
      </c>
      <c r="D93" s="31">
        <v>7.9</v>
      </c>
      <c r="E93" s="31">
        <f>IF(D93="",0,IF(D93&lt;=5,1,IF(D93&lt;=10,2,IF(D93&lt;=15,4,5))))</f>
        <v>2</v>
      </c>
      <c r="F93" s="31" t="s">
        <v>51</v>
      </c>
      <c r="G93" s="32" t="s">
        <v>100</v>
      </c>
      <c r="H93" s="31"/>
    </row>
    <row r="94" spans="3:8" ht="19.8">
      <c r="C94" s="33" t="s">
        <v>35</v>
      </c>
      <c r="D94" s="34">
        <v>16.600000000000001</v>
      </c>
      <c r="E94" s="34">
        <f>IF(D94="",0,IF(D94&lt;=15,1,IF(D94&lt;=30,3,5)))</f>
        <v>3</v>
      </c>
      <c r="F94" s="34" t="s">
        <v>51</v>
      </c>
      <c r="G94" s="32" t="s">
        <v>100</v>
      </c>
      <c r="H94" s="34"/>
    </row>
    <row r="95" spans="3:8" ht="19.8">
      <c r="C95" s="33" t="s">
        <v>36</v>
      </c>
      <c r="D95" s="34" t="s">
        <v>19</v>
      </c>
      <c r="E95" s="34">
        <f t="shared" ref="E95:E96" si="5">IF(D95="Ocurrencia",1,IF(D95="No ocurrencia",5,""))</f>
        <v>1</v>
      </c>
      <c r="F95" s="34" t="s">
        <v>51</v>
      </c>
      <c r="G95" s="32" t="s">
        <v>100</v>
      </c>
      <c r="H95" s="34" t="s">
        <v>85</v>
      </c>
    </row>
    <row r="96" spans="3:8" ht="19.8">
      <c r="C96" s="33" t="s">
        <v>38</v>
      </c>
      <c r="D96" s="34" t="s">
        <v>19</v>
      </c>
      <c r="E96" s="34">
        <f t="shared" si="5"/>
        <v>1</v>
      </c>
      <c r="F96" s="34" t="s">
        <v>51</v>
      </c>
      <c r="G96" s="32" t="s">
        <v>100</v>
      </c>
      <c r="H96" s="34" t="s">
        <v>84</v>
      </c>
    </row>
    <row r="97" spans="3:8" ht="19.8">
      <c r="C97" s="33" t="s">
        <v>39</v>
      </c>
      <c r="D97" s="34" t="s">
        <v>17</v>
      </c>
      <c r="E97" s="34">
        <f>IF(D97="Ocurrencia",1,IF(D97="No ocurrencia",5,""))</f>
        <v>5</v>
      </c>
      <c r="F97" s="34" t="s">
        <v>51</v>
      </c>
      <c r="G97" s="32" t="s">
        <v>100</v>
      </c>
      <c r="H97" s="34"/>
    </row>
    <row r="98" spans="3:8" ht="156">
      <c r="C98" s="33" t="s">
        <v>40</v>
      </c>
      <c r="D98" s="34" t="s">
        <v>52</v>
      </c>
      <c r="E98" s="34">
        <f>IF(D98="Prolongada",1,IF(D98="No prolongada",5,IF(D98="NR",0,"")))</f>
        <v>1</v>
      </c>
      <c r="F98" s="34"/>
      <c r="G98" s="35" t="s">
        <v>55</v>
      </c>
      <c r="H98" s="34"/>
    </row>
    <row r="99" spans="3:8" ht="19.8">
      <c r="C99" s="33" t="s">
        <v>41</v>
      </c>
      <c r="D99" s="34" t="s">
        <v>12</v>
      </c>
      <c r="E99" s="34">
        <f>IF(D99="Empeoramiento",1,IF(D99="Sin efecto",3,IF(D99="Mejoría",5,IF(D99="NR",0,""))))</f>
        <v>5</v>
      </c>
      <c r="F99" s="34" t="s">
        <v>51</v>
      </c>
      <c r="G99" s="32" t="s">
        <v>100</v>
      </c>
      <c r="H99" s="34"/>
    </row>
    <row r="100" spans="3:8" ht="19.8">
      <c r="C100" s="33" t="s">
        <v>42</v>
      </c>
      <c r="D100" s="34" t="s">
        <v>49</v>
      </c>
      <c r="E100" s="34">
        <f>IF(D100="Empeoramiento",1,IF(D100="Sin efecto",3,IF(D100="Mejoría",5,IF(D100="NR",0,""))))</f>
        <v>0</v>
      </c>
      <c r="F100" s="34"/>
      <c r="G100" s="35"/>
      <c r="H100" s="34"/>
    </row>
    <row r="101" spans="3:8" ht="19.8">
      <c r="C101" s="33" t="s">
        <v>44</v>
      </c>
      <c r="D101" s="34" t="s">
        <v>54</v>
      </c>
      <c r="E101" s="34">
        <f>IF(D101="Off-label",1,IF(D101="On-label",5,""))</f>
        <v>5</v>
      </c>
      <c r="F101" s="34"/>
      <c r="G101" s="35" t="s">
        <v>101</v>
      </c>
      <c r="H101" s="34"/>
    </row>
    <row r="102" spans="3:8" ht="31.2">
      <c r="C102" s="33" t="s">
        <v>45</v>
      </c>
      <c r="D102" s="34" t="s">
        <v>7</v>
      </c>
      <c r="E102" s="34">
        <f>IF(D102="No incluido",1,IF(D102="Incluido",5,""))</f>
        <v>5</v>
      </c>
      <c r="F102" s="34"/>
      <c r="G102" s="35" t="s">
        <v>103</v>
      </c>
      <c r="H102" s="34"/>
    </row>
    <row r="105" spans="3:8" ht="20.399999999999999">
      <c r="C105" s="6" t="s">
        <v>87</v>
      </c>
    </row>
    <row r="106" spans="3:8">
      <c r="C106" s="28"/>
    </row>
    <row r="108" spans="3:8" ht="19.8">
      <c r="C108" s="23" t="s">
        <v>50</v>
      </c>
      <c r="D108" s="23" t="s">
        <v>47</v>
      </c>
      <c r="E108" s="23" t="s">
        <v>32</v>
      </c>
      <c r="F108" s="23" t="s">
        <v>46</v>
      </c>
      <c r="G108" s="23" t="s">
        <v>48</v>
      </c>
      <c r="H108" s="23" t="s">
        <v>53</v>
      </c>
    </row>
    <row r="109" spans="3:8" ht="62.4">
      <c r="C109" s="30" t="s">
        <v>34</v>
      </c>
      <c r="D109" s="31">
        <v>12.8</v>
      </c>
      <c r="E109" s="31">
        <f>IF(D109="",0,IF(D109&lt;=5,1,IF(D109&lt;=10,2,IF(D109&lt;=15,4,5))))</f>
        <v>4</v>
      </c>
      <c r="F109" s="31" t="s">
        <v>88</v>
      </c>
      <c r="G109" s="32" t="s">
        <v>102</v>
      </c>
      <c r="H109" s="31"/>
    </row>
    <row r="110" spans="3:8" ht="62.4">
      <c r="C110" s="33" t="s">
        <v>35</v>
      </c>
      <c r="D110" s="34">
        <v>39</v>
      </c>
      <c r="E110" s="34">
        <f>IF(D110="",0,IF(D110&lt;=15,1,IF(106&lt;=30,3,5)))</f>
        <v>5</v>
      </c>
      <c r="F110" s="34" t="s">
        <v>88</v>
      </c>
      <c r="G110" s="35" t="s">
        <v>102</v>
      </c>
      <c r="H110" s="34"/>
    </row>
    <row r="111" spans="3:8" ht="62.4">
      <c r="C111" s="33" t="s">
        <v>36</v>
      </c>
      <c r="D111" s="34" t="s">
        <v>19</v>
      </c>
      <c r="E111" s="34">
        <f>IF(D111="Ocurrencia",1,IF(D111="No ocurrencia",5,""))</f>
        <v>1</v>
      </c>
      <c r="F111" s="34" t="s">
        <v>88</v>
      </c>
      <c r="G111" s="35" t="s">
        <v>102</v>
      </c>
      <c r="H111" s="34" t="s">
        <v>89</v>
      </c>
    </row>
    <row r="112" spans="3:8" ht="62.4">
      <c r="C112" s="33" t="s">
        <v>38</v>
      </c>
      <c r="D112" s="34" t="s">
        <v>19</v>
      </c>
      <c r="E112" s="34">
        <f t="shared" ref="E112:E113" si="6">IF(D112="Ocurrencia",1,IF(D112="No ocurrencia",5,""))</f>
        <v>1</v>
      </c>
      <c r="F112" s="34" t="s">
        <v>88</v>
      </c>
      <c r="G112" s="35" t="s">
        <v>102</v>
      </c>
      <c r="H112" s="34" t="s">
        <v>90</v>
      </c>
    </row>
    <row r="113" spans="3:8" ht="62.4">
      <c r="C113" s="33" t="s">
        <v>39</v>
      </c>
      <c r="D113" s="34" t="s">
        <v>17</v>
      </c>
      <c r="E113" s="34">
        <f t="shared" si="6"/>
        <v>5</v>
      </c>
      <c r="F113" s="34" t="s">
        <v>88</v>
      </c>
      <c r="G113" s="35" t="s">
        <v>102</v>
      </c>
      <c r="H113" s="34"/>
    </row>
    <row r="114" spans="3:8" ht="156">
      <c r="C114" s="33" t="s">
        <v>40</v>
      </c>
      <c r="D114" s="34" t="s">
        <v>52</v>
      </c>
      <c r="E114" s="34">
        <f>IF(D114="Prolongada",1,IF(D114="No prolongada",5,IF(D114="NR",0,"")))</f>
        <v>1</v>
      </c>
      <c r="F114" s="34"/>
      <c r="G114" s="35" t="s">
        <v>55</v>
      </c>
      <c r="H114" s="34"/>
    </row>
    <row r="115" spans="3:8" ht="19.8">
      <c r="C115" s="33" t="s">
        <v>41</v>
      </c>
      <c r="D115" s="34" t="s">
        <v>49</v>
      </c>
      <c r="E115" s="34">
        <f>IF(D115="Empeoramiento",1,IF(D115="Sin efecto",3,IF(D115="Mejoría",5,IF(D115="NR",0,""))))</f>
        <v>0</v>
      </c>
      <c r="F115" s="34"/>
      <c r="G115" s="32"/>
      <c r="H115" s="34"/>
    </row>
    <row r="116" spans="3:8" ht="19.8">
      <c r="C116" s="33" t="s">
        <v>42</v>
      </c>
      <c r="D116" s="34" t="s">
        <v>49</v>
      </c>
      <c r="E116" s="34">
        <f>IF(D116="Empeoramiento",1,IF(D116="Sin efecto",3,IF(D116="Mejoría",5,IF(D116="NR",0,""))))</f>
        <v>0</v>
      </c>
      <c r="F116" s="34"/>
      <c r="G116" s="35"/>
      <c r="H116" s="34"/>
    </row>
    <row r="117" spans="3:8" ht="19.8">
      <c r="C117" s="33" t="s">
        <v>44</v>
      </c>
      <c r="D117" s="34" t="s">
        <v>54</v>
      </c>
      <c r="E117" s="34">
        <f>IF(D117="Off-label",1,IF(D117="On-label",5,""))</f>
        <v>5</v>
      </c>
      <c r="F117" s="34"/>
      <c r="G117" s="35" t="s">
        <v>101</v>
      </c>
      <c r="H117" s="34"/>
    </row>
    <row r="118" spans="3:8" ht="79.2" customHeight="1">
      <c r="C118" s="33" t="s">
        <v>45</v>
      </c>
      <c r="D118" s="34" t="s">
        <v>7</v>
      </c>
      <c r="E118" s="34">
        <f>IF(D118="No incluido",1,IF(D118="Incluido",5,""))</f>
        <v>5</v>
      </c>
      <c r="F118" s="34"/>
      <c r="G118" s="35" t="s">
        <v>103</v>
      </c>
      <c r="H118" s="34"/>
    </row>
    <row r="122" spans="3:8" ht="20.399999999999999">
      <c r="C122" s="6" t="s">
        <v>159</v>
      </c>
    </row>
    <row r="123" spans="3:8">
      <c r="C123" s="28"/>
    </row>
    <row r="125" spans="3:8" ht="19.8">
      <c r="C125" s="23" t="s">
        <v>50</v>
      </c>
      <c r="D125" s="23" t="s">
        <v>47</v>
      </c>
      <c r="E125" s="23" t="s">
        <v>32</v>
      </c>
      <c r="F125" s="23" t="s">
        <v>46</v>
      </c>
      <c r="G125" s="23" t="s">
        <v>48</v>
      </c>
      <c r="H125" s="23" t="s">
        <v>53</v>
      </c>
    </row>
    <row r="126" spans="3:8" ht="39.6">
      <c r="C126" s="30" t="s">
        <v>34</v>
      </c>
      <c r="D126" s="31">
        <v>10.7</v>
      </c>
      <c r="E126" s="31">
        <f>IF(D126="",0,IF(D126&lt;=5,1,IF(D126&lt;=10,2,IF(D126&lt;=15,4,5))))</f>
        <v>4</v>
      </c>
      <c r="F126" s="31" t="s">
        <v>62</v>
      </c>
      <c r="G126" s="32" t="s">
        <v>161</v>
      </c>
      <c r="H126" s="31"/>
    </row>
    <row r="127" spans="3:8" ht="19.8">
      <c r="C127" s="33" t="s">
        <v>35</v>
      </c>
      <c r="D127" s="34">
        <v>33.299999999999997</v>
      </c>
      <c r="E127" s="34">
        <f>IF(D127="",0,IF(D127&lt;=15,1,IF(106&lt;=30,3,5)))</f>
        <v>5</v>
      </c>
      <c r="F127" s="31" t="s">
        <v>62</v>
      </c>
      <c r="G127" s="32" t="s">
        <v>161</v>
      </c>
      <c r="H127" s="34"/>
    </row>
    <row r="128" spans="3:8" ht="19.8">
      <c r="C128" s="33" t="s">
        <v>36</v>
      </c>
      <c r="D128" s="34" t="s">
        <v>19</v>
      </c>
      <c r="E128" s="34">
        <f>IF(D128="Ocurrencia",1,IF(D128="No ocurrencia",5,""))</f>
        <v>1</v>
      </c>
      <c r="F128" s="31" t="s">
        <v>62</v>
      </c>
      <c r="G128" s="32" t="s">
        <v>161</v>
      </c>
      <c r="H128" s="34" t="s">
        <v>160</v>
      </c>
    </row>
    <row r="129" spans="3:8" ht="19.8">
      <c r="C129" s="33" t="s">
        <v>38</v>
      </c>
      <c r="D129" s="34" t="s">
        <v>17</v>
      </c>
      <c r="E129" s="34">
        <f t="shared" ref="E129:E130" si="7">IF(D129="Ocurrencia",1,IF(D129="No ocurrencia",5,""))</f>
        <v>5</v>
      </c>
      <c r="F129" s="31" t="s">
        <v>62</v>
      </c>
      <c r="G129" s="32" t="s">
        <v>161</v>
      </c>
      <c r="H129" s="34"/>
    </row>
    <row r="130" spans="3:8" ht="19.8">
      <c r="C130" s="33" t="s">
        <v>39</v>
      </c>
      <c r="D130" s="34" t="s">
        <v>17</v>
      </c>
      <c r="E130" s="34">
        <f t="shared" si="7"/>
        <v>5</v>
      </c>
      <c r="F130" s="31" t="s">
        <v>62</v>
      </c>
      <c r="G130" s="32" t="s">
        <v>161</v>
      </c>
      <c r="H130" s="34"/>
    </row>
    <row r="131" spans="3:8" ht="156">
      <c r="C131" s="33" t="s">
        <v>40</v>
      </c>
      <c r="D131" s="34" t="s">
        <v>52</v>
      </c>
      <c r="E131" s="34">
        <f>IF(D131="Prolongada",1,IF(D131="No prolongada",5,IF(D131="NR",0,"")))</f>
        <v>1</v>
      </c>
      <c r="F131" s="34"/>
      <c r="G131" s="35" t="s">
        <v>55</v>
      </c>
      <c r="H131" s="34"/>
    </row>
    <row r="132" spans="3:8" ht="19.8">
      <c r="C132" s="33" t="s">
        <v>41</v>
      </c>
      <c r="D132" s="34" t="s">
        <v>12</v>
      </c>
      <c r="E132" s="34">
        <f>IF(D132="Empeoramiento",1,IF(D132="Sin efecto",3,IF(D132="Mejoría",5,IF(D132="NR",0,""))))</f>
        <v>5</v>
      </c>
      <c r="F132" s="31" t="s">
        <v>62</v>
      </c>
      <c r="G132" s="32" t="s">
        <v>161</v>
      </c>
      <c r="H132" s="34"/>
    </row>
    <row r="133" spans="3:8" ht="19.8">
      <c r="C133" s="33" t="s">
        <v>42</v>
      </c>
      <c r="D133" s="34" t="s">
        <v>12</v>
      </c>
      <c r="E133" s="34">
        <f>IF(D133="Empeoramiento",1,IF(D133="Sin efecto",3,IF(D133="Mejoría",5,IF(D133="NR",0,""))))</f>
        <v>5</v>
      </c>
      <c r="F133" s="31" t="s">
        <v>62</v>
      </c>
      <c r="G133" s="32" t="s">
        <v>161</v>
      </c>
      <c r="H133" s="34"/>
    </row>
    <row r="134" spans="3:8" ht="19.8">
      <c r="C134" s="33" t="s">
        <v>44</v>
      </c>
      <c r="D134" s="34" t="s">
        <v>54</v>
      </c>
      <c r="E134" s="34">
        <f>IF(D134="Off-label",1,IF(D134="On-label",5,""))</f>
        <v>5</v>
      </c>
      <c r="F134" s="34"/>
      <c r="G134" s="35" t="s">
        <v>101</v>
      </c>
      <c r="H134" s="34"/>
    </row>
    <row r="135" spans="3:8" ht="31.2">
      <c r="C135" s="33" t="s">
        <v>45</v>
      </c>
      <c r="D135" s="34" t="s">
        <v>7</v>
      </c>
      <c r="E135" s="34">
        <f>IF(D135="No incluido",1,IF(D135="Incluido",5,""))</f>
        <v>5</v>
      </c>
      <c r="F135" s="34"/>
      <c r="G135" s="35" t="s">
        <v>103</v>
      </c>
      <c r="H135" s="34"/>
    </row>
  </sheetData>
  <dataValidations count="5">
    <dataValidation type="list" allowBlank="1" showInputMessage="1" showErrorMessage="1" sqref="D18 D35 D54 D69 D85 D101 D117 D134" xr:uid="{B3ABD638-6C99-4B47-B673-E5B5C9E63E68}">
      <formula1>"On-Label, Off-Label"</formula1>
    </dataValidation>
    <dataValidation type="list" allowBlank="1" showInputMessage="1" showErrorMessage="1" sqref="D12:D14 D29:D31 D48:D50 D63:D65 D79:D81 D95:D97 D111:D113 D128:D130" xr:uid="{14F6BD4A-9BE0-4A1E-B6FC-1064FF5D0A14}">
      <formula1>"No ocurrencia, Ocurrencia, NR"</formula1>
    </dataValidation>
    <dataValidation type="list" allowBlank="1" showInputMessage="1" showErrorMessage="1" sqref="D15 D32 D51 D66 D82 D98 D114 D131" xr:uid="{469EB172-7D0E-4B86-879A-4A67867AC81B}">
      <formula1>"Prolongada, No prolongada, NR"</formula1>
    </dataValidation>
    <dataValidation type="list" allowBlank="1" showInputMessage="1" showErrorMessage="1" sqref="D16:D17 D33:D34 D52:D53 D67:D68 D83:D84 D99:D100 D115:D116 D132:D133" xr:uid="{EEDF041B-2407-428F-9DF9-43B59EE74D05}">
      <formula1>"Empeoramiento, Sin efecto, Mejoría, NR"</formula1>
    </dataValidation>
    <dataValidation type="list" allowBlank="1" showInputMessage="1" showErrorMessage="1" sqref="D19 D36 D55 D70 D86 D102 D118 D135" xr:uid="{0C6E0B77-6326-4095-8936-0A980D1F625C}">
      <formula1>"Incluido, No incluido"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217C8-801E-47F2-9DBF-0897787C2067}">
  <sheetPr codeName="Hoja13"/>
  <dimension ref="A4:C61"/>
  <sheetViews>
    <sheetView workbookViewId="0">
      <selection activeCell="A7" sqref="A7:A11"/>
    </sheetView>
  </sheetViews>
  <sheetFormatPr baseColWidth="10" defaultRowHeight="14.4"/>
  <cols>
    <col min="1" max="1" width="17.5546875" style="4" customWidth="1"/>
    <col min="2" max="2" width="30.6640625" style="4" customWidth="1"/>
    <col min="3" max="3" width="30.33203125" style="4" customWidth="1"/>
    <col min="4" max="4" width="25.109375" style="4" customWidth="1"/>
    <col min="5" max="6" width="11.5546875" style="4"/>
    <col min="7" max="7" width="11.5546875" style="4" customWidth="1"/>
    <col min="8" max="16384" width="11.5546875" style="4"/>
  </cols>
  <sheetData>
    <row r="4" spans="1:3" ht="20.399999999999999">
      <c r="B4" s="103" t="s">
        <v>139</v>
      </c>
      <c r="C4" s="103"/>
    </row>
    <row r="6" spans="1:3" ht="20.399999999999999">
      <c r="B6" s="103" t="s">
        <v>73</v>
      </c>
      <c r="C6" s="103"/>
    </row>
    <row r="7" spans="1:3" ht="36" customHeight="1">
      <c r="A7" s="62" t="s">
        <v>142</v>
      </c>
      <c r="B7" s="104" t="s">
        <v>149</v>
      </c>
      <c r="C7" s="104"/>
    </row>
    <row r="8" spans="1:3" ht="55.8" customHeight="1">
      <c r="A8" s="105" t="s">
        <v>140</v>
      </c>
      <c r="B8" s="104" t="s">
        <v>143</v>
      </c>
      <c r="C8" s="104"/>
    </row>
    <row r="9" spans="1:3" ht="74.400000000000006" customHeight="1">
      <c r="A9" s="105"/>
      <c r="B9" s="104" t="s">
        <v>144</v>
      </c>
      <c r="C9" s="104"/>
    </row>
    <row r="10" spans="1:3" ht="15.6">
      <c r="A10" s="105" t="s">
        <v>141</v>
      </c>
      <c r="B10" s="106" t="s">
        <v>150</v>
      </c>
      <c r="C10" s="106"/>
    </row>
    <row r="11" spans="1:3" s="26" customFormat="1" ht="73.8" customHeight="1">
      <c r="A11" s="105"/>
      <c r="B11" s="106" t="s">
        <v>147</v>
      </c>
      <c r="C11" s="106"/>
    </row>
    <row r="13" spans="1:3" ht="20.399999999999999">
      <c r="B13" s="103" t="s">
        <v>76</v>
      </c>
      <c r="C13" s="103"/>
    </row>
    <row r="14" spans="1:3" ht="48.6" customHeight="1">
      <c r="A14" s="62" t="s">
        <v>142</v>
      </c>
      <c r="B14" s="104" t="s">
        <v>151</v>
      </c>
      <c r="C14" s="104"/>
    </row>
    <row r="15" spans="1:3" ht="58.2" customHeight="1">
      <c r="A15" s="105" t="s">
        <v>140</v>
      </c>
      <c r="B15" s="104" t="s">
        <v>143</v>
      </c>
      <c r="C15" s="104"/>
    </row>
    <row r="16" spans="1:3" ht="80.400000000000006" customHeight="1">
      <c r="A16" s="105"/>
      <c r="B16" s="104" t="s">
        <v>144</v>
      </c>
      <c r="C16" s="104"/>
    </row>
    <row r="17" spans="1:3" ht="67.8" customHeight="1">
      <c r="A17" s="105" t="s">
        <v>141</v>
      </c>
      <c r="B17" s="106" t="s">
        <v>152</v>
      </c>
      <c r="C17" s="106"/>
    </row>
    <row r="18" spans="1:3" ht="63.6" customHeight="1">
      <c r="A18" s="105"/>
      <c r="B18" s="106" t="s">
        <v>147</v>
      </c>
      <c r="C18" s="106"/>
    </row>
    <row r="21" spans="1:3" ht="20.399999999999999">
      <c r="B21" s="103" t="s">
        <v>87</v>
      </c>
      <c r="C21" s="103"/>
    </row>
    <row r="22" spans="1:3" ht="88.2" customHeight="1">
      <c r="A22" s="62" t="s">
        <v>142</v>
      </c>
      <c r="B22" s="104" t="s">
        <v>145</v>
      </c>
      <c r="C22" s="104"/>
    </row>
    <row r="23" spans="1:3" ht="55.8" customHeight="1">
      <c r="A23" s="105" t="s">
        <v>140</v>
      </c>
      <c r="B23" s="104" t="s">
        <v>143</v>
      </c>
      <c r="C23" s="104"/>
    </row>
    <row r="24" spans="1:3" ht="74.400000000000006" customHeight="1">
      <c r="A24" s="105"/>
      <c r="B24" s="104" t="s">
        <v>144</v>
      </c>
      <c r="C24" s="104"/>
    </row>
    <row r="25" spans="1:3" ht="46.8" customHeight="1">
      <c r="A25" s="105" t="s">
        <v>141</v>
      </c>
      <c r="B25" s="106" t="s">
        <v>146</v>
      </c>
      <c r="C25" s="106"/>
    </row>
    <row r="26" spans="1:3" ht="85.8" customHeight="1">
      <c r="A26" s="105"/>
      <c r="B26" s="106" t="s">
        <v>147</v>
      </c>
      <c r="C26" s="106"/>
    </row>
    <row r="27" spans="1:3" ht="20.399999999999999">
      <c r="B27" s="103" t="s">
        <v>82</v>
      </c>
      <c r="C27" s="103"/>
    </row>
    <row r="28" spans="1:3" ht="99" customHeight="1">
      <c r="A28" s="62" t="s">
        <v>142</v>
      </c>
      <c r="B28" s="104" t="s">
        <v>148</v>
      </c>
      <c r="C28" s="104"/>
    </row>
    <row r="29" spans="1:3" ht="54.6" customHeight="1">
      <c r="A29" s="105" t="s">
        <v>140</v>
      </c>
      <c r="B29" s="104" t="s">
        <v>143</v>
      </c>
      <c r="C29" s="104"/>
    </row>
    <row r="30" spans="1:3" ht="82.2" customHeight="1">
      <c r="A30" s="105"/>
      <c r="B30" s="104" t="s">
        <v>144</v>
      </c>
      <c r="C30" s="104"/>
    </row>
    <row r="31" spans="1:3" ht="50.4" customHeight="1">
      <c r="A31" s="105" t="s">
        <v>141</v>
      </c>
      <c r="B31" s="106" t="s">
        <v>146</v>
      </c>
      <c r="C31" s="106"/>
    </row>
    <row r="32" spans="1:3" ht="61.8" customHeight="1">
      <c r="A32" s="105"/>
      <c r="B32" s="106" t="s">
        <v>147</v>
      </c>
      <c r="C32" s="106"/>
    </row>
    <row r="33" spans="1:3" ht="20.399999999999999">
      <c r="B33" s="103" t="s">
        <v>74</v>
      </c>
      <c r="C33" s="103"/>
    </row>
    <row r="34" spans="1:3" ht="45" customHeight="1">
      <c r="A34" s="62" t="s">
        <v>142</v>
      </c>
      <c r="B34" s="104" t="s">
        <v>149</v>
      </c>
      <c r="C34" s="104"/>
    </row>
    <row r="35" spans="1:3" ht="54" customHeight="1">
      <c r="A35" s="105" t="s">
        <v>140</v>
      </c>
      <c r="B35" s="104" t="s">
        <v>143</v>
      </c>
      <c r="C35" s="104"/>
    </row>
    <row r="36" spans="1:3" ht="40.799999999999997" customHeight="1">
      <c r="A36" s="105"/>
      <c r="B36" s="104" t="s">
        <v>144</v>
      </c>
      <c r="C36" s="104"/>
    </row>
    <row r="37" spans="1:3" ht="36.6" customHeight="1">
      <c r="A37" s="105" t="s">
        <v>141</v>
      </c>
      <c r="B37" s="106" t="s">
        <v>150</v>
      </c>
      <c r="C37" s="106"/>
    </row>
    <row r="38" spans="1:3" ht="52.8" customHeight="1">
      <c r="A38" s="105"/>
      <c r="B38" s="106" t="s">
        <v>147</v>
      </c>
      <c r="C38" s="106"/>
    </row>
    <row r="40" spans="1:3" ht="20.399999999999999">
      <c r="B40" s="103" t="s">
        <v>86</v>
      </c>
      <c r="C40" s="103"/>
    </row>
    <row r="41" spans="1:3" ht="33" customHeight="1">
      <c r="A41" s="62" t="s">
        <v>142</v>
      </c>
      <c r="B41" s="104" t="s">
        <v>148</v>
      </c>
      <c r="C41" s="104"/>
    </row>
    <row r="42" spans="1:3" ht="57.6" customHeight="1">
      <c r="A42" s="105" t="s">
        <v>140</v>
      </c>
      <c r="B42" s="104" t="s">
        <v>143</v>
      </c>
      <c r="C42" s="104"/>
    </row>
    <row r="43" spans="1:3" ht="49.8" customHeight="1">
      <c r="A43" s="105"/>
      <c r="B43" s="104" t="s">
        <v>144</v>
      </c>
      <c r="C43" s="104"/>
    </row>
    <row r="44" spans="1:3" ht="15.6">
      <c r="A44" s="105" t="s">
        <v>141</v>
      </c>
      <c r="B44" s="106" t="s">
        <v>146</v>
      </c>
      <c r="C44" s="106"/>
    </row>
    <row r="45" spans="1:3" ht="46.8" customHeight="1">
      <c r="A45" s="105"/>
      <c r="B45" s="106" t="s">
        <v>147</v>
      </c>
      <c r="C45" s="106"/>
    </row>
    <row r="47" spans="1:3" ht="20.399999999999999">
      <c r="B47" s="103" t="s">
        <v>75</v>
      </c>
      <c r="C47" s="103"/>
    </row>
    <row r="48" spans="1:3" ht="34.799999999999997">
      <c r="A48" s="62" t="s">
        <v>142</v>
      </c>
      <c r="B48" s="104" t="s">
        <v>153</v>
      </c>
      <c r="C48" s="104"/>
    </row>
    <row r="49" spans="1:3" ht="52.2" customHeight="1">
      <c r="A49" s="105" t="s">
        <v>140</v>
      </c>
      <c r="B49" s="104" t="s">
        <v>143</v>
      </c>
      <c r="C49" s="104"/>
    </row>
    <row r="50" spans="1:3" ht="41.4" customHeight="1">
      <c r="A50" s="105"/>
      <c r="B50" s="104" t="s">
        <v>144</v>
      </c>
      <c r="C50" s="104"/>
    </row>
    <row r="51" spans="1:3" ht="15.6">
      <c r="A51" s="105" t="s">
        <v>141</v>
      </c>
      <c r="B51" s="106" t="s">
        <v>152</v>
      </c>
      <c r="C51" s="106"/>
    </row>
    <row r="52" spans="1:3" ht="34.200000000000003" customHeight="1">
      <c r="A52" s="105"/>
      <c r="B52" s="106" t="s">
        <v>147</v>
      </c>
      <c r="C52" s="106"/>
    </row>
    <row r="56" spans="1:3" ht="20.399999999999999">
      <c r="B56" s="103" t="s">
        <v>159</v>
      </c>
      <c r="C56" s="103"/>
    </row>
    <row r="57" spans="1:3" ht="61.8" customHeight="1">
      <c r="A57" s="62" t="s">
        <v>142</v>
      </c>
      <c r="B57" s="104" t="s">
        <v>162</v>
      </c>
      <c r="C57" s="104"/>
    </row>
    <row r="58" spans="1:3" ht="37.799999999999997" customHeight="1">
      <c r="A58" s="105" t="s">
        <v>140</v>
      </c>
      <c r="B58" s="104" t="s">
        <v>143</v>
      </c>
      <c r="C58" s="104"/>
    </row>
    <row r="59" spans="1:3" ht="64.8" customHeight="1">
      <c r="A59" s="105"/>
      <c r="B59" s="104" t="s">
        <v>144</v>
      </c>
      <c r="C59" s="104"/>
    </row>
    <row r="60" spans="1:3" ht="46.8" customHeight="1">
      <c r="A60" s="105" t="s">
        <v>141</v>
      </c>
      <c r="B60" s="106" t="s">
        <v>146</v>
      </c>
      <c r="C60" s="106"/>
    </row>
    <row r="61" spans="1:3" ht="42.6" customHeight="1">
      <c r="A61" s="105"/>
      <c r="B61" s="106" t="s">
        <v>147</v>
      </c>
      <c r="C61" s="106"/>
    </row>
  </sheetData>
  <mergeCells count="65">
    <mergeCell ref="A60:A61"/>
    <mergeCell ref="B60:C60"/>
    <mergeCell ref="B61:C61"/>
    <mergeCell ref="B56:C56"/>
    <mergeCell ref="B57:C57"/>
    <mergeCell ref="A58:A59"/>
    <mergeCell ref="B58:C58"/>
    <mergeCell ref="B59:C59"/>
    <mergeCell ref="A51:A52"/>
    <mergeCell ref="B51:C51"/>
    <mergeCell ref="B52:C52"/>
    <mergeCell ref="A44:A45"/>
    <mergeCell ref="B44:C44"/>
    <mergeCell ref="B45:C45"/>
    <mergeCell ref="B47:C47"/>
    <mergeCell ref="B48:C48"/>
    <mergeCell ref="A49:A50"/>
    <mergeCell ref="B49:C49"/>
    <mergeCell ref="B50:C50"/>
    <mergeCell ref="A42:A43"/>
    <mergeCell ref="B42:C42"/>
    <mergeCell ref="B43:C43"/>
    <mergeCell ref="A31:A32"/>
    <mergeCell ref="B31:C31"/>
    <mergeCell ref="B32:C32"/>
    <mergeCell ref="B33:C33"/>
    <mergeCell ref="B34:C34"/>
    <mergeCell ref="A35:A36"/>
    <mergeCell ref="B35:C35"/>
    <mergeCell ref="B36:C36"/>
    <mergeCell ref="A37:A38"/>
    <mergeCell ref="B37:C37"/>
    <mergeCell ref="B38:C38"/>
    <mergeCell ref="B40:C40"/>
    <mergeCell ref="B41:C41"/>
    <mergeCell ref="A29:A30"/>
    <mergeCell ref="B29:C29"/>
    <mergeCell ref="B30:C30"/>
    <mergeCell ref="B21:C21"/>
    <mergeCell ref="B22:C22"/>
    <mergeCell ref="A23:A24"/>
    <mergeCell ref="B23:C23"/>
    <mergeCell ref="B24:C24"/>
    <mergeCell ref="A25:A26"/>
    <mergeCell ref="B25:C25"/>
    <mergeCell ref="B26:C26"/>
    <mergeCell ref="B27:C27"/>
    <mergeCell ref="B28:C28"/>
    <mergeCell ref="A17:A18"/>
    <mergeCell ref="B17:C17"/>
    <mergeCell ref="B18:C18"/>
    <mergeCell ref="A10:A11"/>
    <mergeCell ref="B10:C10"/>
    <mergeCell ref="B11:C11"/>
    <mergeCell ref="B13:C13"/>
    <mergeCell ref="B14:C14"/>
    <mergeCell ref="A15:A16"/>
    <mergeCell ref="B15:C15"/>
    <mergeCell ref="B16:C16"/>
    <mergeCell ref="B4:C4"/>
    <mergeCell ref="B6:C6"/>
    <mergeCell ref="B7:C7"/>
    <mergeCell ref="A8:A9"/>
    <mergeCell ref="B8:C8"/>
    <mergeCell ref="B9:C9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AD8FE-95A6-42C2-82D3-8B67626228B8}">
  <sheetPr codeName="Hoja10"/>
  <dimension ref="A1:I11"/>
  <sheetViews>
    <sheetView workbookViewId="0">
      <selection activeCell="B2" sqref="B2:B11"/>
    </sheetView>
  </sheetViews>
  <sheetFormatPr baseColWidth="10" defaultRowHeight="14.4"/>
  <cols>
    <col min="1" max="3" width="46.33203125" style="4" customWidth="1"/>
    <col min="4" max="5" width="32.21875" style="4" customWidth="1"/>
    <col min="6" max="6" width="33.5546875" style="4" customWidth="1"/>
    <col min="7" max="7" width="30.77734375" style="4" customWidth="1"/>
    <col min="8" max="8" width="23.21875" style="4" customWidth="1"/>
    <col min="9" max="9" width="32.21875" style="4" customWidth="1"/>
    <col min="10" max="10" width="11.5546875" style="4" customWidth="1"/>
    <col min="11" max="16384" width="11.5546875" style="4"/>
  </cols>
  <sheetData>
    <row r="1" spans="1:9" ht="20.399999999999999">
      <c r="A1" s="37" t="s">
        <v>30</v>
      </c>
      <c r="B1" s="37" t="s">
        <v>159</v>
      </c>
      <c r="C1" s="37" t="s">
        <v>87</v>
      </c>
      <c r="D1" s="38" t="s">
        <v>73</v>
      </c>
      <c r="E1" s="37" t="s">
        <v>82</v>
      </c>
      <c r="F1" s="37" t="s">
        <v>74</v>
      </c>
      <c r="G1" s="37" t="s">
        <v>75</v>
      </c>
      <c r="H1" s="37" t="s">
        <v>76</v>
      </c>
      <c r="I1" s="37" t="s">
        <v>86</v>
      </c>
    </row>
    <row r="2" spans="1:9" ht="39.6">
      <c r="A2" s="30" t="s">
        <v>34</v>
      </c>
      <c r="B2" s="31" cm="1">
        <f t="array" ref="B2:B11">'Inputs_EMD '!D126:D135</f>
        <v>10.7</v>
      </c>
      <c r="C2" s="31" cm="1">
        <f t="array" ref="C2:C11">'Inputs_EMD '!D109:D118</f>
        <v>12.8</v>
      </c>
      <c r="D2" s="31">
        <f>'Inputs_EMD '!D77</f>
        <v>8</v>
      </c>
      <c r="E2" s="31">
        <f>'Inputs_EMD '!D93</f>
        <v>7.9</v>
      </c>
      <c r="F2" s="32">
        <f>'Inputs_EMD '!D61</f>
        <v>6.5</v>
      </c>
      <c r="G2" s="31">
        <f>'Inputs_EMD '!D10</f>
        <v>9.9</v>
      </c>
      <c r="H2" s="30">
        <f>'Inputs_EMD '!D27</f>
        <v>11</v>
      </c>
      <c r="I2" s="31">
        <f>'Inputs_EMD '!D46</f>
        <v>8.8000000000000007</v>
      </c>
    </row>
    <row r="3" spans="1:9" ht="19.8">
      <c r="A3" s="30" t="s">
        <v>35</v>
      </c>
      <c r="B3" s="31">
        <v>33.299999999999997</v>
      </c>
      <c r="C3" s="31">
        <v>39</v>
      </c>
      <c r="D3" s="31">
        <f>'Inputs_EMD '!D78</f>
        <v>26.5</v>
      </c>
      <c r="E3" s="31">
        <f>'Inputs_EMD '!D94</f>
        <v>16.600000000000001</v>
      </c>
      <c r="F3" s="32">
        <f>'Inputs_EMD '!D62</f>
        <v>30.4</v>
      </c>
      <c r="G3" s="31">
        <f>'Inputs_EMD '!D11</f>
        <v>31.2</v>
      </c>
      <c r="H3" s="30">
        <f>'Inputs_EMD '!D28</f>
        <v>37.200000000000003</v>
      </c>
      <c r="I3" s="31">
        <f>'Inputs_EMD '!D47</f>
        <v>18.7</v>
      </c>
    </row>
    <row r="4" spans="1:9" ht="19.8">
      <c r="A4" s="30" t="s">
        <v>36</v>
      </c>
      <c r="B4" s="31" t="str">
        <v>Ocurrencia</v>
      </c>
      <c r="C4" s="31" t="str">
        <v>Ocurrencia</v>
      </c>
      <c r="D4" s="31" t="str">
        <f>'Inputs_EMD '!D79</f>
        <v>No ocurrencia</v>
      </c>
      <c r="E4" s="31" t="str">
        <f>'Inputs_EMD '!D95</f>
        <v>Ocurrencia</v>
      </c>
      <c r="F4" s="32" t="str">
        <f>'Inputs_EMD '!D63</f>
        <v>No ocurrencia</v>
      </c>
      <c r="G4" s="31" t="str">
        <f>'Inputs_EMD '!D12</f>
        <v>Ocurrencia</v>
      </c>
      <c r="H4" s="30" t="str">
        <f>'Inputs_EMD '!D29</f>
        <v>No ocurrencia</v>
      </c>
      <c r="I4" s="31" t="str">
        <f>'Inputs_EMD '!D48</f>
        <v>No ocurrencia</v>
      </c>
    </row>
    <row r="5" spans="1:9" ht="19.8">
      <c r="A5" s="30" t="s">
        <v>38</v>
      </c>
      <c r="B5" s="31" t="str">
        <v>No ocurrencia</v>
      </c>
      <c r="C5" s="31" t="str">
        <v>Ocurrencia</v>
      </c>
      <c r="D5" s="31" t="str">
        <f>'Inputs_EMD '!D80</f>
        <v>No ocurrencia</v>
      </c>
      <c r="E5" s="31" t="str">
        <f>'Inputs_EMD '!D96</f>
        <v>Ocurrencia</v>
      </c>
      <c r="F5" s="32" t="str">
        <f>'Inputs_EMD '!D64</f>
        <v>Ocurrencia</v>
      </c>
      <c r="G5" s="31" t="str">
        <f>'Inputs_EMD '!D13</f>
        <v>Ocurrencia</v>
      </c>
      <c r="H5" s="30" t="str">
        <f>'Inputs_EMD '!D30</f>
        <v>Ocurrencia</v>
      </c>
      <c r="I5" s="31" t="str">
        <f>'Inputs_EMD '!D49</f>
        <v>Ocurrencia</v>
      </c>
    </row>
    <row r="6" spans="1:9" ht="19.8">
      <c r="A6" s="30" t="s">
        <v>39</v>
      </c>
      <c r="B6" s="31" t="str">
        <v>No ocurrencia</v>
      </c>
      <c r="C6" s="31" t="str">
        <v>No ocurrencia</v>
      </c>
      <c r="D6" s="31" t="str">
        <f>'Inputs_EMD '!D81</f>
        <v>No ocurrencia</v>
      </c>
      <c r="E6" s="31" t="str">
        <f>'Inputs_EMD '!D97</f>
        <v>No ocurrencia</v>
      </c>
      <c r="F6" s="32" t="str">
        <f>'Inputs_EMD '!D65</f>
        <v>No ocurrencia</v>
      </c>
      <c r="G6" s="31" t="str">
        <f>'Inputs_EMD '!D14</f>
        <v>No ocurrencia</v>
      </c>
      <c r="H6" s="30" t="str">
        <f>'Inputs_EMD '!D31</f>
        <v>Ocurrencia</v>
      </c>
      <c r="I6" s="31" t="str">
        <f>'Inputs_EMD '!D50</f>
        <v>No ocurrencia</v>
      </c>
    </row>
    <row r="7" spans="1:9" ht="19.8">
      <c r="A7" s="30" t="s">
        <v>40</v>
      </c>
      <c r="B7" s="31" t="str">
        <v>Prolongada</v>
      </c>
      <c r="C7" s="31" t="str">
        <v>Prolongada</v>
      </c>
      <c r="D7" s="31" t="str">
        <f>'Inputs_EMD '!D82</f>
        <v>No prolongada</v>
      </c>
      <c r="E7" s="31" t="str">
        <f>'Inputs_EMD '!D98</f>
        <v>Prolongada</v>
      </c>
      <c r="F7" s="32" t="str">
        <f>'Inputs_EMD '!D66</f>
        <v>No prolongada</v>
      </c>
      <c r="G7" s="31" t="str">
        <f>'Inputs_EMD '!D15</f>
        <v>NR</v>
      </c>
      <c r="H7" s="30" t="str">
        <f>'Inputs_EMD '!D32</f>
        <v>NR</v>
      </c>
      <c r="I7" s="31" t="str">
        <f>'Inputs_EMD '!D51</f>
        <v>Prolongada</v>
      </c>
    </row>
    <row r="8" spans="1:9" ht="19.8">
      <c r="A8" s="30" t="s">
        <v>41</v>
      </c>
      <c r="B8" s="31" t="str">
        <v>Mejoría</v>
      </c>
      <c r="C8" s="31" t="str">
        <v>NR</v>
      </c>
      <c r="D8" s="31" t="str">
        <f>'Inputs_EMD '!D83</f>
        <v>Mejoría</v>
      </c>
      <c r="E8" s="31" t="str">
        <f>'Inputs_EMD '!D99</f>
        <v>Mejoría</v>
      </c>
      <c r="F8" s="32" t="str">
        <f>'Inputs_EMD '!D67</f>
        <v>Mejoría</v>
      </c>
      <c r="G8" s="31" t="str">
        <f>'Inputs_EMD '!D16</f>
        <v>Mejoría</v>
      </c>
      <c r="H8" s="30" t="str">
        <f>'Inputs_EMD '!D33</f>
        <v>Mejoría</v>
      </c>
      <c r="I8" s="31" t="str">
        <f>'Inputs_EMD '!D52</f>
        <v>Mejoría</v>
      </c>
    </row>
    <row r="9" spans="1:9" ht="19.8">
      <c r="A9" s="30" t="s">
        <v>42</v>
      </c>
      <c r="B9" s="31" t="str">
        <v>Mejoría</v>
      </c>
      <c r="C9" s="31" t="str">
        <v>NR</v>
      </c>
      <c r="D9" s="31" t="str">
        <f>'Inputs_EMD '!D84</f>
        <v>NR</v>
      </c>
      <c r="E9" s="31" t="str">
        <f>'Inputs_EMD '!D100</f>
        <v>NR</v>
      </c>
      <c r="F9" s="32" t="str">
        <f>'Inputs_EMD '!D68</f>
        <v>NR</v>
      </c>
      <c r="G9" s="31" t="str">
        <f>'Inputs_EMD '!D17</f>
        <v>NR</v>
      </c>
      <c r="H9" s="30" t="str">
        <f>'Inputs_EMD '!D34</f>
        <v>NR</v>
      </c>
      <c r="I9" s="31" t="str">
        <f>'Inputs_EMD '!D53</f>
        <v>NR</v>
      </c>
    </row>
    <row r="10" spans="1:9" ht="19.8">
      <c r="A10" s="30" t="s">
        <v>44</v>
      </c>
      <c r="B10" s="31" t="str">
        <v>On-Label</v>
      </c>
      <c r="C10" s="31" t="str">
        <v>On-Label</v>
      </c>
      <c r="D10" s="31" t="str">
        <f>'Inputs_EMD '!D85</f>
        <v>On-Label</v>
      </c>
      <c r="E10" s="31" t="str">
        <f>'Inputs_EMD '!D101</f>
        <v>On-Label</v>
      </c>
      <c r="F10" s="32" t="str">
        <f>'Inputs_EMD '!D69</f>
        <v>On-Label</v>
      </c>
      <c r="G10" s="31" t="str">
        <f>'Inputs_EMD '!D18</f>
        <v>On-Label</v>
      </c>
      <c r="H10" s="30" t="str">
        <f>'Inputs_EMD '!D35</f>
        <v>On-Label</v>
      </c>
      <c r="I10" s="31" t="str">
        <f>'Inputs_EMD '!D54</f>
        <v>On-Label</v>
      </c>
    </row>
    <row r="11" spans="1:9" ht="19.8">
      <c r="A11" s="30" t="s">
        <v>45</v>
      </c>
      <c r="B11" s="31" t="str">
        <v>Incluido</v>
      </c>
      <c r="C11" s="31" t="str">
        <v>Incluido</v>
      </c>
      <c r="D11" s="31" t="str">
        <f>'Inputs_EMD '!D86</f>
        <v>Incluido</v>
      </c>
      <c r="E11" s="31" t="str">
        <f>'Inputs_EMD '!D102</f>
        <v>Incluido</v>
      </c>
      <c r="F11" s="32" t="str">
        <f>'Inputs_EMD '!D70</f>
        <v>Incluido</v>
      </c>
      <c r="G11" s="31" t="str">
        <f>'Inputs_EMD '!D19</f>
        <v>Incluido</v>
      </c>
      <c r="H11" s="30" t="str">
        <f>'Inputs_EMD '!D36</f>
        <v>Incluido</v>
      </c>
      <c r="I11" s="31" t="str">
        <f>'Inputs_EMD '!D55</f>
        <v>Incluido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/>
  <dimension ref="A1:B2"/>
  <sheetViews>
    <sheetView workbookViewId="0"/>
  </sheetViews>
  <sheetFormatPr baseColWidth="10" defaultColWidth="8.88671875" defaultRowHeight="14.4"/>
  <sheetData>
    <row r="1" spans="1:2">
      <c r="A1" t="s">
        <v>5</v>
      </c>
      <c r="B1" t="s">
        <v>6</v>
      </c>
    </row>
    <row r="2" spans="1:2">
      <c r="A2" t="e">
        <f>'MCDA Advanced Dashboard'!F30</f>
        <v>#N/A</v>
      </c>
      <c r="B2" t="e">
        <f>100-A2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</vt:i4>
      </vt:variant>
    </vt:vector>
  </HeadingPairs>
  <TitlesOfParts>
    <vt:vector size="14" baseType="lpstr">
      <vt:lpstr>Modelo de valor</vt:lpstr>
      <vt:lpstr>Definiciones </vt:lpstr>
      <vt:lpstr>MCDA Advanced Dashboard</vt:lpstr>
      <vt:lpstr>T_results</vt:lpstr>
      <vt:lpstr>Resumen</vt:lpstr>
      <vt:lpstr>Input_costo2</vt:lpstr>
      <vt:lpstr>Matriz_Medicamentos</vt:lpstr>
      <vt:lpstr>Parametros </vt:lpstr>
      <vt:lpstr>Inputs_EMD </vt:lpstr>
      <vt:lpstr>Referencias</vt:lpstr>
      <vt:lpstr>Matriz_Resultados_Crudos</vt:lpstr>
      <vt:lpstr>ChartData</vt:lpstr>
      <vt:lpstr>Resumen!Área_de_impresión</vt:lpstr>
      <vt:lpstr>LP_Lista_Moleculas_Seleccionadas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JAIR SOTO</dc:creator>
  <cp:lastModifiedBy>DYLAN DANIEL GAVIRIA MOLINA</cp:lastModifiedBy>
  <cp:lastPrinted>2026-07-09T14:37:21Z</cp:lastPrinted>
  <dcterms:created xsi:type="dcterms:W3CDTF">2026-06-03T18:25:09Z</dcterms:created>
  <dcterms:modified xsi:type="dcterms:W3CDTF">2026-07-09T14:37:31Z</dcterms:modified>
</cp:coreProperties>
</file>